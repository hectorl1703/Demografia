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xico" sheetId="1" r:id="rId5"/>
    <sheet state="visible" name="Veracruz" sheetId="2" r:id="rId6"/>
    <sheet state="visible" name="Nacimientos y tablas de vida,Me" sheetId="3" r:id="rId7"/>
    <sheet state="visible" name="Nacimientos y tablas de vida, V" sheetId="4" r:id="rId8"/>
    <sheet state="visible" name="Tasas, Gráficos, Mex. y Ver." sheetId="5" r:id="rId9"/>
  </sheets>
  <definedNames/>
  <calcPr/>
</workbook>
</file>

<file path=xl/sharedStrings.xml><?xml version="1.0" encoding="utf-8"?>
<sst xmlns="http://schemas.openxmlformats.org/spreadsheetml/2006/main" count="803" uniqueCount="353">
  <si>
    <t>Población total</t>
  </si>
  <si>
    <t>Interpolación 2019</t>
  </si>
  <si>
    <t>Lugar de nacimiento : Total</t>
  </si>
  <si>
    <t/>
  </si>
  <si>
    <t>Consulta de: Población total con estimación   Por: Edad   Según: Sexo</t>
  </si>
  <si>
    <t>Consulta de: Población total   Por: Edad   Según: Sexo</t>
  </si>
  <si>
    <t>Total</t>
  </si>
  <si>
    <t>Hombre</t>
  </si>
  <si>
    <t>Mujer</t>
  </si>
  <si>
    <t>Hombres</t>
  </si>
  <si>
    <t>Mujeres</t>
  </si>
  <si>
    <t>112,336,538</t>
  </si>
  <si>
    <t>54,855,231</t>
  </si>
  <si>
    <t>57,481,307</t>
  </si>
  <si>
    <t>126,014,024</t>
  </si>
  <si>
    <t>61,473,390</t>
  </si>
  <si>
    <t>64,540,634</t>
  </si>
  <si>
    <t>De 0 a 4 años</t>
  </si>
  <si>
    <t>10,528,322</t>
  </si>
  <si>
    <t>5,346,943</t>
  </si>
  <si>
    <t>5,181,379</t>
  </si>
  <si>
    <t>10,047,365</t>
  </si>
  <si>
    <t>5,077,482</t>
  </si>
  <si>
    <t>4,969,883</t>
  </si>
  <si>
    <t>De 5 a 9 años</t>
  </si>
  <si>
    <t>11,047,537</t>
  </si>
  <si>
    <t>5,604,175</t>
  </si>
  <si>
    <t>5,443,362</t>
  </si>
  <si>
    <t>10,764,379</t>
  </si>
  <si>
    <t>5,453,091</t>
  </si>
  <si>
    <t>5,311,288</t>
  </si>
  <si>
    <t>De 10 a 14 años</t>
  </si>
  <si>
    <t>10,939,937</t>
  </si>
  <si>
    <t>5,547,613</t>
  </si>
  <si>
    <t>5,392,324</t>
  </si>
  <si>
    <t>10,943,540</t>
  </si>
  <si>
    <t>5,554,260</t>
  </si>
  <si>
    <t>5,389,280</t>
  </si>
  <si>
    <t>De 15 a 19 años</t>
  </si>
  <si>
    <t>11,026,112</t>
  </si>
  <si>
    <t>5,520,121</t>
  </si>
  <si>
    <t>5,505,991</t>
  </si>
  <si>
    <t>10,806,690</t>
  </si>
  <si>
    <t>5,462,150</t>
  </si>
  <si>
    <t>5,344,540</t>
  </si>
  <si>
    <t>De 20 a 24 años</t>
  </si>
  <si>
    <t>9,892,271</t>
  </si>
  <si>
    <t>4,813,204</t>
  </si>
  <si>
    <t>5,079,067</t>
  </si>
  <si>
    <t>10,422,095</t>
  </si>
  <si>
    <t>5,165,884</t>
  </si>
  <si>
    <t>5,256,211</t>
  </si>
  <si>
    <t>De 25 a 29 años</t>
  </si>
  <si>
    <t>8,788,177</t>
  </si>
  <si>
    <t>4,205,975</t>
  </si>
  <si>
    <t>4,582,202</t>
  </si>
  <si>
    <t>9,993,001</t>
  </si>
  <si>
    <t>4,861,404</t>
  </si>
  <si>
    <t>5,131,597</t>
  </si>
  <si>
    <t>De 30 a 34 años</t>
  </si>
  <si>
    <t>8,470,798</t>
  </si>
  <si>
    <t>4,026,031</t>
  </si>
  <si>
    <t>4,444,767</t>
  </si>
  <si>
    <t>9,420,827</t>
  </si>
  <si>
    <t>4,527,726</t>
  </si>
  <si>
    <t>4,893,101</t>
  </si>
  <si>
    <t>De 35 a 39 años</t>
  </si>
  <si>
    <t>8,292,987</t>
  </si>
  <si>
    <t>3,964,738</t>
  </si>
  <si>
    <t>4,328,249</t>
  </si>
  <si>
    <t>9,020,276</t>
  </si>
  <si>
    <t>4,331,530</t>
  </si>
  <si>
    <t>4,688,746</t>
  </si>
  <si>
    <t>De 40 a 44 años</t>
  </si>
  <si>
    <t>7,009,226</t>
  </si>
  <si>
    <t>3,350,322</t>
  </si>
  <si>
    <t>3,658,904</t>
  </si>
  <si>
    <t>8,503,586</t>
  </si>
  <si>
    <t>4,062,304</t>
  </si>
  <si>
    <t>4,441,282</t>
  </si>
  <si>
    <t>De 45 a 49 años</t>
  </si>
  <si>
    <t>5,928,730</t>
  </si>
  <si>
    <t>2,824,364</t>
  </si>
  <si>
    <t>3,104,366</t>
  </si>
  <si>
    <t>7,942,413</t>
  </si>
  <si>
    <t>3,812,344</t>
  </si>
  <si>
    <t>4,130,069</t>
  </si>
  <si>
    <t>De 50 a 54 años</t>
  </si>
  <si>
    <t>5,064,291</t>
  </si>
  <si>
    <t>2,402,451</t>
  </si>
  <si>
    <t>2,661,840</t>
  </si>
  <si>
    <t>7,037,532</t>
  </si>
  <si>
    <t>3,332,163</t>
  </si>
  <si>
    <t>3,705,369</t>
  </si>
  <si>
    <t>De 55 a 59 años</t>
  </si>
  <si>
    <t>3,895,365</t>
  </si>
  <si>
    <t>1,869,537</t>
  </si>
  <si>
    <t>2,025,828</t>
  </si>
  <si>
    <t>5,695,958</t>
  </si>
  <si>
    <t>2,692,976</t>
  </si>
  <si>
    <t>3,002,982</t>
  </si>
  <si>
    <t>De 60 a 64 años</t>
  </si>
  <si>
    <t>3,116,466</t>
  </si>
  <si>
    <t>1,476,667</t>
  </si>
  <si>
    <t>1,639,799</t>
  </si>
  <si>
    <t>4,821,062</t>
  </si>
  <si>
    <t>2,257,862</t>
  </si>
  <si>
    <t>2,563,200</t>
  </si>
  <si>
    <t>De 65 a 69 años</t>
  </si>
  <si>
    <t>2,317,265</t>
  </si>
  <si>
    <t>1,095,273</t>
  </si>
  <si>
    <t>1,221,992</t>
  </si>
  <si>
    <t>3,645,077</t>
  </si>
  <si>
    <t>1,706,850</t>
  </si>
  <si>
    <t>1,938,227</t>
  </si>
  <si>
    <t>De 70 a 74 años</t>
  </si>
  <si>
    <t>1,873,934</t>
  </si>
  <si>
    <t>873,893</t>
  </si>
  <si>
    <t>1,000,041</t>
  </si>
  <si>
    <t>2,647,340</t>
  </si>
  <si>
    <t>1,233,492</t>
  </si>
  <si>
    <t>1,413,848</t>
  </si>
  <si>
    <t>De 75 a 79 años</t>
  </si>
  <si>
    <t>1,245,483</t>
  </si>
  <si>
    <t>579,689</t>
  </si>
  <si>
    <t>665,794</t>
  </si>
  <si>
    <t>1,814,582</t>
  </si>
  <si>
    <t>847,898</t>
  </si>
  <si>
    <t>966,684</t>
  </si>
  <si>
    <t>De 80 a 84 años</t>
  </si>
  <si>
    <t>798,936</t>
  </si>
  <si>
    <t>355,277</t>
  </si>
  <si>
    <t>443,659</t>
  </si>
  <si>
    <t>1,175,364</t>
  </si>
  <si>
    <t>523,812</t>
  </si>
  <si>
    <t>651,552</t>
  </si>
  <si>
    <t>85 y más años</t>
  </si>
  <si>
    <t>703,295</t>
  </si>
  <si>
    <t>298,739</t>
  </si>
  <si>
    <t>404,556</t>
  </si>
  <si>
    <t>85 años y más</t>
  </si>
  <si>
    <t>1,039,551</t>
  </si>
  <si>
    <t>433,968</t>
  </si>
  <si>
    <t>605,583</t>
  </si>
  <si>
    <t>No especificado</t>
  </si>
  <si>
    <t>1,397,406</t>
  </si>
  <si>
    <t>700,219</t>
  </si>
  <si>
    <t>697,187</t>
  </si>
  <si>
    <t>273,386</t>
  </si>
  <si>
    <t>136,194</t>
  </si>
  <si>
    <t>137,192</t>
  </si>
  <si>
    <t>FUENTE: INEGI. Censo de Población y Vivienda 2010.</t>
  </si>
  <si>
    <t>FUENTE: INEGI. Censo de Población y Vivienda 2020. Cuestionario Básico.</t>
  </si>
  <si>
    <t>Tasas de crecimiento para el total de la población</t>
  </si>
  <si>
    <t>Tasas de crecimiento exponencial para Edades Específicas MEF</t>
  </si>
  <si>
    <t>15-19</t>
  </si>
  <si>
    <t>Fechas</t>
  </si>
  <si>
    <t>ti</t>
  </si>
  <si>
    <t>N</t>
  </si>
  <si>
    <t>r</t>
  </si>
  <si>
    <t>Δt</t>
  </si>
  <si>
    <t>N30/06/2019</t>
  </si>
  <si>
    <t>20-24</t>
  </si>
  <si>
    <t>25-29</t>
  </si>
  <si>
    <t>30-34</t>
  </si>
  <si>
    <t>35-39</t>
  </si>
  <si>
    <t>40-44</t>
  </si>
  <si>
    <t>45-49</t>
  </si>
  <si>
    <t>Entidad y municipio : Veracruz de Ignacio de la Llave</t>
  </si>
  <si>
    <t>7,643,194</t>
  </si>
  <si>
    <t>3,695,679</t>
  </si>
  <si>
    <t>3,947,515</t>
  </si>
  <si>
    <t>8,062,579</t>
  </si>
  <si>
    <t>3,871,774</t>
  </si>
  <si>
    <t>4,190,805</t>
  </si>
  <si>
    <t>662,288</t>
  </si>
  <si>
    <t>335,899</t>
  </si>
  <si>
    <t>326,389</t>
  </si>
  <si>
    <t>600,253</t>
  </si>
  <si>
    <t>303,113</t>
  </si>
  <si>
    <t>297,140</t>
  </si>
  <si>
    <t>728,767</t>
  </si>
  <si>
    <t>369,775</t>
  </si>
  <si>
    <t>358,992</t>
  </si>
  <si>
    <t>675,182</t>
  </si>
  <si>
    <t>342,335</t>
  </si>
  <si>
    <t>332,847</t>
  </si>
  <si>
    <t>741,526</t>
  </si>
  <si>
    <t>376,924</t>
  </si>
  <si>
    <t>364,602</t>
  </si>
  <si>
    <t>685,468</t>
  </si>
  <si>
    <t>347,680</t>
  </si>
  <si>
    <t>337,788</t>
  </si>
  <si>
    <t>759,388</t>
  </si>
  <si>
    <t>381,351</t>
  </si>
  <si>
    <t>378,037</t>
  </si>
  <si>
    <t>681,548</t>
  </si>
  <si>
    <t>344,153</t>
  </si>
  <si>
    <t>337,395</t>
  </si>
  <si>
    <t>642,093</t>
  </si>
  <si>
    <t>307,562</t>
  </si>
  <si>
    <t>334,531</t>
  </si>
  <si>
    <t>600,394</t>
  </si>
  <si>
    <t>292,359</t>
  </si>
  <si>
    <t>308,035</t>
  </si>
  <si>
    <t>557,762</t>
  </si>
  <si>
    <t>259,153</t>
  </si>
  <si>
    <t>298,609</t>
  </si>
  <si>
    <t>580,421</t>
  </si>
  <si>
    <t>272,684</t>
  </si>
  <si>
    <t>307,737</t>
  </si>
  <si>
    <t>539,685</t>
  </si>
  <si>
    <t>247,094</t>
  </si>
  <si>
    <t>292,591</t>
  </si>
  <si>
    <t>568,121</t>
  </si>
  <si>
    <t>263,409</t>
  </si>
  <si>
    <t>304,712</t>
  </si>
  <si>
    <t>542,754</t>
  </si>
  <si>
    <t>251,277</t>
  </si>
  <si>
    <t>291,477</t>
  </si>
  <si>
    <t>558,791</t>
  </si>
  <si>
    <t>258,605</t>
  </si>
  <si>
    <t>300,186</t>
  </si>
  <si>
    <t>486,810</t>
  </si>
  <si>
    <t>228,657</t>
  </si>
  <si>
    <t>258,153</t>
  </si>
  <si>
    <t>537,667</t>
  </si>
  <si>
    <t>247,288</t>
  </si>
  <si>
    <t>290,379</t>
  </si>
  <si>
    <t>424,845</t>
  </si>
  <si>
    <t>201,515</t>
  </si>
  <si>
    <t>223,330</t>
  </si>
  <si>
    <t>516,152</t>
  </si>
  <si>
    <t>240,159</t>
  </si>
  <si>
    <t>275,993</t>
  </si>
  <si>
    <t>365,591</t>
  </si>
  <si>
    <t>172,802</t>
  </si>
  <si>
    <t>192,789</t>
  </si>
  <si>
    <t>488,510</t>
  </si>
  <si>
    <t>227,672</t>
  </si>
  <si>
    <t>260,838</t>
  </si>
  <si>
    <t>298,171</t>
  </si>
  <si>
    <t>142,619</t>
  </si>
  <si>
    <t>155,552</t>
  </si>
  <si>
    <t>408,710</t>
  </si>
  <si>
    <t>192,522</t>
  </si>
  <si>
    <t>216,188</t>
  </si>
  <si>
    <t>239,698</t>
  </si>
  <si>
    <t>114,048</t>
  </si>
  <si>
    <t>125,650</t>
  </si>
  <si>
    <t>347,850</t>
  </si>
  <si>
    <t>162,999</t>
  </si>
  <si>
    <t>184,851</t>
  </si>
  <si>
    <t>183,836</t>
  </si>
  <si>
    <t>87,365</t>
  </si>
  <si>
    <t>96,471</t>
  </si>
  <si>
    <t>279,233</t>
  </si>
  <si>
    <t>130,731</t>
  </si>
  <si>
    <t>148,502</t>
  </si>
  <si>
    <t>155,346</t>
  </si>
  <si>
    <t>72,547</t>
  </si>
  <si>
    <t>82,799</t>
  </si>
  <si>
    <t>203,156</t>
  </si>
  <si>
    <t>95,435</t>
  </si>
  <si>
    <t>107,721</t>
  </si>
  <si>
    <t>100,119</t>
  </si>
  <si>
    <t>46,658</t>
  </si>
  <si>
    <t>53,461</t>
  </si>
  <si>
    <t>145,737</t>
  </si>
  <si>
    <t>68,964</t>
  </si>
  <si>
    <t>76,773</t>
  </si>
  <si>
    <t>62,627</t>
  </si>
  <si>
    <t>28,294</t>
  </si>
  <si>
    <t>34,333</t>
  </si>
  <si>
    <t>95,232</t>
  </si>
  <si>
    <t>43,082</t>
  </si>
  <si>
    <t>52,150</t>
  </si>
  <si>
    <t>56,931</t>
  </si>
  <si>
    <t>24,743</t>
  </si>
  <si>
    <t>32,188</t>
  </si>
  <si>
    <t>86,684</t>
  </si>
  <si>
    <t>36,877</t>
  </si>
  <si>
    <t>49,807</t>
  </si>
  <si>
    <t>94,957</t>
  </si>
  <si>
    <t>47,396</t>
  </si>
  <si>
    <t>47,561</t>
  </si>
  <si>
    <t>3,470</t>
  </si>
  <si>
    <t>1,707</t>
  </si>
  <si>
    <t>1,763</t>
  </si>
  <si>
    <t>Nacimientos 2019</t>
  </si>
  <si>
    <t>Mexico</t>
  </si>
  <si>
    <t>Nacimientos por sexo</t>
  </si>
  <si>
    <t>Edad</t>
  </si>
  <si>
    <t>Mexico 2019</t>
  </si>
  <si>
    <t>Población 30/06/2019</t>
  </si>
  <si>
    <t>K</t>
  </si>
  <si>
    <t>lt_desc</t>
  </si>
  <si>
    <t>year</t>
  </si>
  <si>
    <t>sex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</si>
  <si>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</si>
  <si>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</si>
  <si>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</si>
  <si>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</si>
  <si>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</si>
  <si>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</si>
  <si>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</si>
  <si>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</si>
  <si>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</si>
  <si>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</si>
  <si>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</si>
  <si>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f</t>
  </si>
  <si>
    <t>NA</t>
  </si>
  <si>
    <t>Veracruz</t>
  </si>
  <si>
    <t>Veracruz 2019</t>
  </si>
  <si>
    <t>Tabla reducida de mortalidad, mujeres, Veracruz, 2019</t>
  </si>
  <si>
    <t>Tabla reducida de mortalidad, hombres, Veracruz, 2019</t>
  </si>
  <si>
    <t>x</t>
  </si>
  <si>
    <t>n</t>
  </si>
  <si>
    <t>px</t>
  </si>
  <si>
    <t>a. Tasas brutas de natalidad</t>
  </si>
  <si>
    <t>Punto medio</t>
  </si>
  <si>
    <t>x+n</t>
  </si>
  <si>
    <t>Nacimientos</t>
  </si>
  <si>
    <t>Población femenina 30/06/2010</t>
  </si>
  <si>
    <t>f(x,5)</t>
  </si>
  <si>
    <t>% f(x,5)</t>
  </si>
  <si>
    <t>f(x,5) fem</t>
  </si>
  <si>
    <t>L(x) fem</t>
  </si>
  <si>
    <t>m+2,5P0</t>
  </si>
  <si>
    <t>m+2,5P0 * f(x,5)fem</t>
  </si>
  <si>
    <t>Tasas brutas de natalidad (b)</t>
  </si>
  <si>
    <t>Región</t>
  </si>
  <si>
    <t>Bz</t>
  </si>
  <si>
    <t>N 30-06-z</t>
  </si>
  <si>
    <t>b</t>
  </si>
  <si>
    <t>México</t>
  </si>
  <si>
    <t>b. PMEF</t>
  </si>
  <si>
    <t>Proporción de Mujeres en Edad Fértil</t>
  </si>
  <si>
    <t>País</t>
  </si>
  <si>
    <t>MEF 30-06-z</t>
  </si>
  <si>
    <t>PMEF</t>
  </si>
  <si>
    <t>TGF</t>
  </si>
  <si>
    <t>TBR</t>
  </si>
  <si>
    <t>TBR (K obs)</t>
  </si>
  <si>
    <t>TNR</t>
  </si>
  <si>
    <t>c. TFG</t>
  </si>
  <si>
    <t>TFG (3 países)</t>
  </si>
  <si>
    <t>TFG</t>
  </si>
  <si>
    <t>diff</t>
  </si>
  <si>
    <t>Población femenina 30/06/2009</t>
  </si>
  <si>
    <t>d. Diferencias relativas de b, TFG, TGF, TBR y TNR de México con respecto a Veracruz</t>
  </si>
  <si>
    <t>Δ</t>
  </si>
  <si>
    <t>México-Veracruz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</si>
</sst>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"/>
    <numFmt numFmtId="165" formatCode="#####"/>
    <numFmt numFmtId="166" formatCode="dd/mm/yyyy"/>
  </numFmts>
  <fonts count="12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color rgb="FF000000"/>
      <name val="Calibri"/>
    </font>
    <font/>
    <font>
      <b/>
      <color rgb="FF000000"/>
      <name val="Arial"/>
    </font>
    <font>
      <color rgb="FF7030A0"/>
      <name val="Arial"/>
    </font>
    <font>
      <b/>
      <color rgb="FFC0504D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DDD9C4"/>
        <bgColor rgb="FFDDD9C4"/>
      </patternFill>
    </fill>
    <fill>
      <patternFill patternType="solid">
        <fgColor rgb="FFC5D9F1"/>
        <bgColor rgb="FFC5D9F1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left" readingOrder="0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top"/>
    </xf>
    <xf borderId="0" fillId="0" fontId="2" numFmtId="164" xfId="0" applyAlignment="1" applyFont="1" applyNumberFormat="1">
      <alignment vertical="top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165" xfId="0" applyAlignment="1" applyFont="1" applyNumberFormat="1">
      <alignment readingOrder="0"/>
    </xf>
    <xf borderId="0" fillId="0" fontId="1" numFmtId="3" xfId="0" applyFont="1" applyNumberFormat="1"/>
    <xf borderId="0" fillId="0" fontId="1" numFmtId="165" xfId="0" applyFont="1" applyNumberFormat="1"/>
    <xf borderId="0" fillId="2" fontId="2" numFmtId="164" xfId="0" applyAlignment="1" applyFill="1" applyFont="1" applyNumberFormat="1">
      <alignment horizontal="left" vertical="top"/>
    </xf>
    <xf borderId="0" fillId="2" fontId="1" numFmtId="3" xfId="0" applyFont="1" applyNumberFormat="1"/>
    <xf borderId="0" fillId="0" fontId="3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164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wrapText="0"/>
    </xf>
    <xf borderId="1" fillId="0" fontId="5" numFmtId="166" xfId="0" applyAlignment="1" applyBorder="1" applyFont="1" applyNumberForma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3" xfId="0" applyAlignment="1" applyBorder="1" applyFont="1" applyNumberFormat="1">
      <alignment horizontal="center" readingOrder="0" shrinkToFit="0" wrapText="0"/>
    </xf>
    <xf borderId="1" fillId="0" fontId="7" numFmtId="0" xfId="0" applyBorder="1" applyFont="1"/>
    <xf borderId="1" fillId="0" fontId="6" numFmtId="0" xfId="0" applyAlignment="1" applyBorder="1" applyFont="1">
      <alignment horizontal="right" readingOrder="0" shrinkToFit="0" wrapText="0"/>
    </xf>
    <xf borderId="0" fillId="0" fontId="1" numFmtId="165" xfId="0" applyFont="1" applyNumberFormat="1"/>
    <xf borderId="0" fillId="2" fontId="2" numFmtId="164" xfId="0" applyAlignment="1" applyFont="1" applyNumberFormat="1">
      <alignment vertical="top"/>
    </xf>
    <xf borderId="0" fillId="2" fontId="1" numFmtId="165" xfId="0" applyFont="1" applyNumberFormat="1"/>
    <xf borderId="1" fillId="0" fontId="5" numFmtId="165" xfId="0" applyAlignment="1" applyBorder="1" applyFont="1" applyNumberFormat="1">
      <alignment horizontal="center" readingOrder="0" shrinkToFit="0" wrapText="0"/>
    </xf>
    <xf borderId="2" fillId="0" fontId="8" numFmtId="0" xfId="0" applyAlignment="1" applyBorder="1" applyFont="1">
      <alignment horizontal="center" readingOrder="0"/>
    </xf>
    <xf borderId="2" fillId="0" fontId="8" numFmtId="3" xfId="0" applyAlignment="1" applyBorder="1" applyFont="1" applyNumberFormat="1">
      <alignment horizontal="center" readingOrder="0" shrinkToFit="0" wrapText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readingOrder="0" shrinkToFit="0" vertical="bottom" wrapText="0"/>
    </xf>
    <xf borderId="0" fillId="3" fontId="4" numFmtId="11" xfId="0" applyAlignment="1" applyFont="1" applyNumberForma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5" fontId="4" numFmtId="11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2" fillId="6" fontId="8" numFmtId="0" xfId="0" applyAlignment="1" applyBorder="1" applyFill="1" applyFont="1">
      <alignment horizontal="center" readingOrder="0"/>
    </xf>
    <xf borderId="2" fillId="7" fontId="8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readingOrder="0" shrinkToFit="0" wrapText="0"/>
    </xf>
    <xf borderId="4" fillId="0" fontId="7" numFmtId="0" xfId="0" applyBorder="1" applyFont="1"/>
    <xf borderId="5" fillId="0" fontId="7" numFmtId="0" xfId="0" applyBorder="1" applyFont="1"/>
    <xf borderId="2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right" readingOrder="0" shrinkToFit="0" wrapText="0"/>
    </xf>
    <xf borderId="2" fillId="8" fontId="9" numFmtId="0" xfId="0" applyAlignment="1" applyBorder="1" applyFill="1" applyFont="1">
      <alignment horizontal="right" readingOrder="0" shrinkToFit="0" wrapText="0"/>
    </xf>
    <xf borderId="2" fillId="8" fontId="9" numFmtId="165" xfId="0" applyAlignment="1" applyBorder="1" applyFont="1" applyNumberFormat="1">
      <alignment horizontal="right" readingOrder="0" shrinkToFit="0" wrapText="0"/>
    </xf>
    <xf borderId="6" fillId="0" fontId="5" numFmtId="0" xfId="0" applyAlignment="1" applyBorder="1" applyFont="1">
      <alignment horizontal="right" readingOrder="0" shrinkToFit="0" wrapText="0"/>
    </xf>
    <xf borderId="2" fillId="0" fontId="8" numFmtId="0" xfId="0" applyAlignment="1" applyBorder="1" applyFont="1">
      <alignment horizontal="center" readingOrder="0" shrinkToFit="0" wrapText="0"/>
    </xf>
    <xf borderId="2" fillId="0" fontId="5" numFmtId="165" xfId="0" applyAlignment="1" applyBorder="1" applyFont="1" applyNumberFormat="1">
      <alignment horizontal="center" readingOrder="0" shrinkToFit="0" wrapText="0"/>
    </xf>
    <xf borderId="2" fillId="8" fontId="5" numFmtId="0" xfId="0" applyAlignment="1" applyBorder="1" applyFont="1">
      <alignment horizontal="center" readingOrder="0" shrinkToFit="0" wrapText="0"/>
    </xf>
    <xf borderId="2" fillId="0" fontId="5" numFmtId="165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left" shrinkToFit="0" vertical="top" wrapText="0"/>
    </xf>
    <xf borderId="2" fillId="9" fontId="5" numFmtId="0" xfId="0" applyAlignment="1" applyBorder="1" applyFill="1" applyFont="1">
      <alignment horizontal="center" readingOrder="0" shrinkToFit="0" wrapText="0"/>
    </xf>
    <xf borderId="2" fillId="9" fontId="8" numFmtId="0" xfId="0" applyAlignment="1" applyBorder="1" applyFont="1">
      <alignment shrinkToFit="0" wrapText="0"/>
    </xf>
    <xf borderId="2" fillId="9" fontId="9" numFmtId="0" xfId="0" applyAlignment="1" applyBorder="1" applyFont="1">
      <alignment horizontal="right" shrinkToFit="0" wrapText="0"/>
    </xf>
    <xf borderId="2" fillId="9" fontId="9" numFmtId="0" xfId="0" applyAlignment="1" applyBorder="1" applyFont="1">
      <alignment horizontal="center" shrinkToFit="0" wrapText="0"/>
    </xf>
    <xf borderId="6" fillId="9" fontId="5" numFmtId="0" xfId="0" applyAlignment="1" applyBorder="1" applyFont="1">
      <alignment horizontal="right" readingOrder="0" shrinkToFit="0" wrapText="0"/>
    </xf>
    <xf borderId="2" fillId="9" fontId="5" numFmtId="0" xfId="0" applyAlignment="1" applyBorder="1" applyFont="1">
      <alignment shrinkToFit="0" wrapText="0"/>
    </xf>
    <xf borderId="2" fillId="9" fontId="5" numFmtId="0" xfId="0" applyAlignment="1" applyBorder="1" applyFont="1">
      <alignment horizontal="right" readingOrder="0" shrinkToFit="0" wrapText="0"/>
    </xf>
    <xf borderId="2" fillId="0" fontId="5" numFmtId="3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shrinkToFit="0" wrapText="0"/>
    </xf>
    <xf borderId="2" fillId="0" fontId="11" numFmtId="0" xfId="0" applyAlignment="1" applyBorder="1" applyFont="1">
      <alignment horizontal="right" readingOrder="0" shrinkToFit="0" wrapText="0"/>
    </xf>
    <xf borderId="6" fillId="0" fontId="10" numFmtId="0" xfId="0" applyAlignment="1" applyBorder="1" applyFont="1">
      <alignment horizontal="right" readingOrder="0" shrinkToFit="0" wrapText="0"/>
    </xf>
    <xf borderId="2" fillId="0" fontId="10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2" fillId="0" fontId="8" numFmtId="0" xfId="0" applyAlignment="1" applyBorder="1" applyFont="1">
      <alignment horizontal="right" readingOrder="0" shrinkToFit="0" wrapText="0"/>
    </xf>
    <xf borderId="7" fillId="0" fontId="5" numFmtId="0" xfId="0" applyAlignment="1" applyBorder="1" applyFont="1">
      <alignment shrinkToFit="0" wrapText="0"/>
    </xf>
    <xf borderId="8" fillId="0" fontId="10" numFmtId="0" xfId="0" applyAlignment="1" applyBorder="1" applyFont="1">
      <alignment horizontal="right" readingOrder="0" shrinkToFit="0" wrapText="0"/>
    </xf>
    <xf borderId="2" fillId="0" fontId="8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shrinkToFit="0" wrapText="0"/>
    </xf>
    <xf borderId="5" fillId="0" fontId="10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horizontal="right" readingOrder="0" shrinkToFit="0" vertical="bottom" wrapText="0"/>
    </xf>
    <xf borderId="2" fillId="8" fontId="9" numFmtId="0" xfId="0" applyAlignment="1" applyBorder="1" applyFont="1">
      <alignment horizontal="center" readingOrder="0" shrinkToFit="0" wrapText="0"/>
    </xf>
    <xf borderId="2" fillId="8" fontId="9" numFmtId="165" xfId="0" applyAlignment="1" applyBorder="1" applyFont="1" applyNumberFormat="1">
      <alignment horizontal="center" readingOrder="0" shrinkToFit="0" wrapText="0"/>
    </xf>
    <xf borderId="2" fillId="0" fontId="4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10" fillId="0" fontId="4" numFmtId="0" xfId="0" applyAlignment="1" applyBorder="1" applyFont="1">
      <alignment horizontal="right" readingOrder="0" shrinkToFit="0" vertical="bottom" wrapText="0"/>
    </xf>
    <xf borderId="11" fillId="0" fontId="7" numFmtId="0" xfId="0" applyBorder="1" applyFont="1"/>
    <xf borderId="2" fillId="10" fontId="9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TBR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'Tasas, Gráficos, Mex. y Ver.'!$A$25:$A$26</c:f>
            </c:strRef>
          </c:cat>
          <c:val>
            <c:numRef>
              <c:f>'Tasas, Gráficos, Mex. y Ver.'!$H$15:$H$16</c:f>
              <c:numCache/>
            </c:numRef>
          </c:val>
        </c:ser>
        <c:ser>
          <c:idx val="1"/>
          <c:order val="1"/>
          <c:tx>
            <c:v>TNR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'Tasas, Gráficos, Mex. y Ver.'!$A$25:$A$26</c:f>
            </c:strRef>
          </c:cat>
          <c:val>
            <c:numRef>
              <c:f>'Tasas, Gráficos, Mex. y Ver.'!$I$15:$I$16</c:f>
              <c:numCache/>
            </c:numRef>
          </c:val>
        </c:ser>
        <c:axId val="951134606"/>
        <c:axId val="1405810879"/>
      </c:barChart>
      <c:catAx>
        <c:axId val="951134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05810879"/>
      </c:catAx>
      <c:valAx>
        <c:axId val="1405810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134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Mexico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'Tasas, Gráficos, Mex. y Ver.'!$G$23:$G$29</c:f>
            </c:strRef>
          </c:cat>
          <c:val>
            <c:numRef>
              <c:f>'Tasas, Gráficos, Mex. y Ver.'!$M$4:$M$10</c:f>
              <c:numCache/>
            </c:numRef>
          </c:val>
          <c:smooth val="0"/>
        </c:ser>
        <c:ser>
          <c:idx val="1"/>
          <c:order val="1"/>
          <c:tx>
            <c:v>Veracruz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'Tasas, Gráficos, Mex. y Ver.'!$G$23:$G$29</c:f>
            </c:strRef>
          </c:cat>
          <c:val>
            <c:numRef>
              <c:f>'Tasas, Gráficos, Mex. y Ver.'!$M$23:$M$29</c:f>
              <c:numCache/>
            </c:numRef>
          </c:val>
          <c:smooth val="0"/>
        </c:ser>
        <c:axId val="660606993"/>
        <c:axId val="850445510"/>
      </c:lineChart>
      <c:catAx>
        <c:axId val="660606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445510"/>
      </c:catAx>
      <c:valAx>
        <c:axId val="850445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606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504825</xdr:colOff>
      <xdr:row>0</xdr:row>
      <xdr:rowOff>123825</xdr:rowOff>
    </xdr:from>
    <xdr:ext cx="7048500" cy="4362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561975</xdr:colOff>
      <xdr:row>26</xdr:row>
      <xdr:rowOff>66675</xdr:rowOff>
    </xdr:from>
    <xdr:ext cx="6696075" cy="4143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1.86"/>
    <col customWidth="1" min="3" max="3" width="19.86"/>
    <col customWidth="1" min="4" max="4" width="24.29"/>
    <col customWidth="1" min="5" max="5" width="9.14"/>
    <col customWidth="1" min="6" max="6" width="8.71"/>
    <col customWidth="1" min="7" max="7" width="16.71"/>
    <col customWidth="1" min="8" max="8" width="16.0"/>
    <col customWidth="1" min="9" max="9" width="15.71"/>
    <col customWidth="1" min="10" max="10" width="16.86"/>
    <col customWidth="1" min="11" max="12" width="8.71"/>
    <col customWidth="1" min="13" max="13" width="19.57"/>
    <col customWidth="1" min="14" max="14" width="17.71"/>
    <col customWidth="1" min="15" max="15" width="16.71"/>
    <col customWidth="1" min="16" max="16" width="16.57"/>
    <col customWidth="1" min="17" max="18" width="8.71"/>
    <col customWidth="1" min="19" max="19" width="17.71"/>
    <col customWidth="1" min="20" max="20" width="12.0"/>
    <col customWidth="1" min="21" max="26" width="8.71"/>
  </cols>
  <sheetData>
    <row r="1">
      <c r="A1" s="1" t="s">
        <v>0</v>
      </c>
      <c r="B1" s="2">
        <v>2010.0</v>
      </c>
      <c r="C1" s="3"/>
      <c r="D1" s="3"/>
      <c r="E1" s="3"/>
      <c r="G1" s="4" t="s">
        <v>0</v>
      </c>
      <c r="H1" s="5">
        <v>2020.0</v>
      </c>
      <c r="I1" s="6"/>
      <c r="J1" s="6"/>
      <c r="N1" s="7" t="s">
        <v>0</v>
      </c>
      <c r="O1" s="7" t="s">
        <v>1</v>
      </c>
    </row>
    <row r="2">
      <c r="A2" s="1" t="s">
        <v>2</v>
      </c>
      <c r="B2" s="3"/>
      <c r="C2" s="3"/>
      <c r="D2" s="3"/>
      <c r="E2" s="3"/>
      <c r="G2" s="4" t="s">
        <v>3</v>
      </c>
      <c r="H2" s="6"/>
      <c r="I2" s="6"/>
      <c r="J2" s="6"/>
    </row>
    <row r="3">
      <c r="A3" s="1" t="s">
        <v>3</v>
      </c>
      <c r="B3" s="3"/>
      <c r="C3" s="3"/>
      <c r="D3" s="3"/>
      <c r="E3" s="3"/>
    </row>
    <row r="4">
      <c r="A4" s="1" t="s">
        <v>4</v>
      </c>
      <c r="B4" s="3"/>
      <c r="C4" s="3"/>
      <c r="D4" s="3"/>
      <c r="E4" s="3"/>
      <c r="G4" s="4" t="s">
        <v>5</v>
      </c>
      <c r="H4" s="6"/>
      <c r="I4" s="6"/>
      <c r="J4" s="6"/>
    </row>
    <row r="5">
      <c r="B5" s="3"/>
      <c r="C5" s="3"/>
      <c r="D5" s="3"/>
      <c r="E5" s="3"/>
      <c r="G5" s="4"/>
      <c r="H5" s="6"/>
      <c r="I5" s="6"/>
      <c r="J5" s="6"/>
      <c r="O5" s="8"/>
    </row>
    <row r="6">
      <c r="A6" s="1" t="s">
        <v>3</v>
      </c>
      <c r="B6" s="3" t="s">
        <v>6</v>
      </c>
      <c r="C6" s="3" t="s">
        <v>7</v>
      </c>
      <c r="D6" s="3" t="s">
        <v>8</v>
      </c>
      <c r="E6" s="3"/>
      <c r="G6" s="4" t="s">
        <v>3</v>
      </c>
      <c r="H6" s="6" t="s">
        <v>6</v>
      </c>
      <c r="I6" s="6" t="s">
        <v>9</v>
      </c>
      <c r="J6" s="6" t="s">
        <v>10</v>
      </c>
      <c r="N6" s="7" t="s">
        <v>6</v>
      </c>
      <c r="O6" s="9" t="s">
        <v>9</v>
      </c>
      <c r="P6" s="7" t="s">
        <v>10</v>
      </c>
    </row>
    <row r="7">
      <c r="A7" s="1" t="s">
        <v>6</v>
      </c>
      <c r="B7" s="3" t="s">
        <v>11</v>
      </c>
      <c r="C7" s="3" t="s">
        <v>12</v>
      </c>
      <c r="D7" s="3" t="s">
        <v>13</v>
      </c>
      <c r="E7" s="3"/>
      <c r="G7" s="4" t="s">
        <v>6</v>
      </c>
      <c r="H7" s="6" t="s">
        <v>14</v>
      </c>
      <c r="I7" s="6" t="s">
        <v>15</v>
      </c>
      <c r="J7" s="6" t="s">
        <v>16</v>
      </c>
      <c r="M7" s="4" t="s">
        <v>6</v>
      </c>
      <c r="N7" s="10">
        <f t="shared" ref="N7:P7" si="1">B7 * EXP((LN(H7/B7)/10) * 9)</f>
        <v>124574483.6</v>
      </c>
      <c r="O7" s="10">
        <f t="shared" si="1"/>
        <v>60777138.91</v>
      </c>
      <c r="P7" s="10">
        <f t="shared" si="1"/>
        <v>63797339.5</v>
      </c>
      <c r="R7" s="11"/>
      <c r="S7" s="11"/>
    </row>
    <row r="8">
      <c r="A8" s="1" t="s">
        <v>17</v>
      </c>
      <c r="B8" s="3" t="s">
        <v>18</v>
      </c>
      <c r="C8" s="3" t="s">
        <v>19</v>
      </c>
      <c r="D8" s="3" t="s">
        <v>20</v>
      </c>
      <c r="E8" s="3"/>
      <c r="G8" s="4" t="s">
        <v>17</v>
      </c>
      <c r="H8" s="6" t="s">
        <v>21</v>
      </c>
      <c r="I8" s="6" t="s">
        <v>22</v>
      </c>
      <c r="J8" s="6" t="s">
        <v>23</v>
      </c>
      <c r="M8" s="4" t="s">
        <v>17</v>
      </c>
      <c r="N8" s="10">
        <f t="shared" ref="N8:P8" si="2">B8 * EXP((LN(H8/B8)/10) * 9)</f>
        <v>10094455.03</v>
      </c>
      <c r="O8" s="10">
        <f t="shared" si="2"/>
        <v>5103805.419</v>
      </c>
      <c r="P8" s="10">
        <f t="shared" si="2"/>
        <v>4990638.175</v>
      </c>
    </row>
    <row r="9">
      <c r="A9" s="1" t="s">
        <v>24</v>
      </c>
      <c r="B9" s="3" t="s">
        <v>25</v>
      </c>
      <c r="C9" s="3" t="s">
        <v>26</v>
      </c>
      <c r="D9" s="3" t="s">
        <v>27</v>
      </c>
      <c r="E9" s="3"/>
      <c r="G9" s="4" t="s">
        <v>24</v>
      </c>
      <c r="H9" s="6" t="s">
        <v>28</v>
      </c>
      <c r="I9" s="6" t="s">
        <v>29</v>
      </c>
      <c r="J9" s="6" t="s">
        <v>30</v>
      </c>
      <c r="M9" s="4" t="s">
        <v>24</v>
      </c>
      <c r="N9" s="10">
        <f t="shared" ref="N9:P9" si="3">B9 * EXP((LN(H9/B9)/10) * 9)</f>
        <v>10792365.1</v>
      </c>
      <c r="O9" s="10">
        <f t="shared" si="3"/>
        <v>5468014.273</v>
      </c>
      <c r="P9" s="10">
        <f t="shared" si="3"/>
        <v>5324349.896</v>
      </c>
    </row>
    <row r="10">
      <c r="A10" s="1" t="s">
        <v>31</v>
      </c>
      <c r="B10" s="3" t="s">
        <v>32</v>
      </c>
      <c r="C10" s="3" t="s">
        <v>33</v>
      </c>
      <c r="D10" s="3" t="s">
        <v>34</v>
      </c>
      <c r="E10" s="3"/>
      <c r="G10" s="4" t="s">
        <v>31</v>
      </c>
      <c r="H10" s="6" t="s">
        <v>35</v>
      </c>
      <c r="I10" s="6" t="s">
        <v>36</v>
      </c>
      <c r="J10" s="6" t="s">
        <v>37</v>
      </c>
      <c r="M10" s="4" t="s">
        <v>31</v>
      </c>
      <c r="N10" s="10">
        <f t="shared" ref="N10:P10" si="4">B10 * EXP((LN(H10/B10)/10) * 9)</f>
        <v>10943179.65</v>
      </c>
      <c r="O10" s="10">
        <f t="shared" si="4"/>
        <v>5553594.942</v>
      </c>
      <c r="P10" s="10">
        <f t="shared" si="4"/>
        <v>5389584.323</v>
      </c>
    </row>
    <row r="11">
      <c r="A11" s="1" t="s">
        <v>38</v>
      </c>
      <c r="B11" s="3" t="s">
        <v>39</v>
      </c>
      <c r="C11" s="3" t="s">
        <v>40</v>
      </c>
      <c r="D11" s="12" t="s">
        <v>41</v>
      </c>
      <c r="E11" s="3"/>
      <c r="G11" s="4" t="s">
        <v>38</v>
      </c>
      <c r="H11" s="6" t="s">
        <v>42</v>
      </c>
      <c r="I11" s="6" t="s">
        <v>43</v>
      </c>
      <c r="J11" s="6" t="s">
        <v>44</v>
      </c>
      <c r="M11" s="4" t="s">
        <v>38</v>
      </c>
      <c r="N11" s="10">
        <f t="shared" ref="N11:P11" si="5">B11 * EXP((LN(H11/B11)/10) * 9)</f>
        <v>10828434.26</v>
      </c>
      <c r="O11" s="10">
        <f t="shared" si="5"/>
        <v>5467919.598</v>
      </c>
      <c r="P11" s="13">
        <f t="shared" si="5"/>
        <v>5360469.735</v>
      </c>
    </row>
    <row r="12">
      <c r="A12" s="1" t="s">
        <v>45</v>
      </c>
      <c r="B12" s="3" t="s">
        <v>46</v>
      </c>
      <c r="C12" s="3" t="s">
        <v>47</v>
      </c>
      <c r="D12" s="12" t="s">
        <v>48</v>
      </c>
      <c r="E12" s="3"/>
      <c r="G12" s="4" t="s">
        <v>45</v>
      </c>
      <c r="H12" s="6" t="s">
        <v>49</v>
      </c>
      <c r="I12" s="6" t="s">
        <v>50</v>
      </c>
      <c r="J12" s="6" t="s">
        <v>51</v>
      </c>
      <c r="M12" s="4" t="s">
        <v>45</v>
      </c>
      <c r="N12" s="10">
        <f t="shared" ref="N12:P12" si="6">B12 * EXP((LN(H12/B12)/10) * 9)</f>
        <v>10367860.03</v>
      </c>
      <c r="O12" s="10">
        <f t="shared" si="6"/>
        <v>5129483.2</v>
      </c>
      <c r="P12" s="13">
        <f t="shared" si="6"/>
        <v>5238222.068</v>
      </c>
    </row>
    <row r="13">
      <c r="A13" s="1" t="s">
        <v>52</v>
      </c>
      <c r="B13" s="3" t="s">
        <v>53</v>
      </c>
      <c r="C13" s="3" t="s">
        <v>54</v>
      </c>
      <c r="D13" s="12" t="s">
        <v>55</v>
      </c>
      <c r="E13" s="3"/>
      <c r="G13" s="4" t="s">
        <v>52</v>
      </c>
      <c r="H13" s="6" t="s">
        <v>56</v>
      </c>
      <c r="I13" s="6" t="s">
        <v>57</v>
      </c>
      <c r="J13" s="6" t="s">
        <v>58</v>
      </c>
      <c r="M13" s="4" t="s">
        <v>52</v>
      </c>
      <c r="N13" s="10">
        <f t="shared" ref="N13:P13" si="7">B13 * EXP((LN(H13/B13)/10) * 9)</f>
        <v>9865434.496</v>
      </c>
      <c r="O13" s="10">
        <f t="shared" si="7"/>
        <v>4791507.93</v>
      </c>
      <c r="P13" s="13">
        <f t="shared" si="7"/>
        <v>5073815.973</v>
      </c>
    </row>
    <row r="14">
      <c r="A14" s="1" t="s">
        <v>59</v>
      </c>
      <c r="B14" s="3" t="s">
        <v>60</v>
      </c>
      <c r="C14" s="3" t="s">
        <v>61</v>
      </c>
      <c r="D14" s="12" t="s">
        <v>62</v>
      </c>
      <c r="E14" s="3"/>
      <c r="G14" s="4" t="s">
        <v>59</v>
      </c>
      <c r="H14" s="6" t="s">
        <v>63</v>
      </c>
      <c r="I14" s="6" t="s">
        <v>64</v>
      </c>
      <c r="J14" s="6" t="s">
        <v>65</v>
      </c>
      <c r="M14" s="4" t="s">
        <v>59</v>
      </c>
      <c r="N14" s="10">
        <f t="shared" ref="N14:P14" si="8">B14 * EXP((LN(H14/B14)/10) * 9)</f>
        <v>9321215.708</v>
      </c>
      <c r="O14" s="10">
        <f t="shared" si="8"/>
        <v>4474863.94</v>
      </c>
      <c r="P14" s="13">
        <f t="shared" si="8"/>
        <v>4846304.101</v>
      </c>
    </row>
    <row r="15">
      <c r="A15" s="1" t="s">
        <v>66</v>
      </c>
      <c r="B15" s="3" t="s">
        <v>67</v>
      </c>
      <c r="C15" s="3" t="s">
        <v>68</v>
      </c>
      <c r="D15" s="12" t="s">
        <v>69</v>
      </c>
      <c r="E15" s="3"/>
      <c r="G15" s="4" t="s">
        <v>66</v>
      </c>
      <c r="H15" s="6" t="s">
        <v>70</v>
      </c>
      <c r="I15" s="6" t="s">
        <v>71</v>
      </c>
      <c r="J15" s="6" t="s">
        <v>72</v>
      </c>
      <c r="M15" s="4" t="s">
        <v>66</v>
      </c>
      <c r="N15" s="10">
        <f t="shared" ref="N15:P15" si="9">B15 * EXP((LN(H15/B15)/10) * 9)</f>
        <v>8944765.142</v>
      </c>
      <c r="O15" s="10">
        <f t="shared" si="9"/>
        <v>4293373.223</v>
      </c>
      <c r="P15" s="13">
        <f t="shared" si="9"/>
        <v>4651384.697</v>
      </c>
    </row>
    <row r="16">
      <c r="A16" s="1" t="s">
        <v>73</v>
      </c>
      <c r="B16" s="3" t="s">
        <v>74</v>
      </c>
      <c r="C16" s="3" t="s">
        <v>75</v>
      </c>
      <c r="D16" s="12" t="s">
        <v>76</v>
      </c>
      <c r="E16" s="3"/>
      <c r="G16" s="4" t="s">
        <v>73</v>
      </c>
      <c r="H16" s="6" t="s">
        <v>77</v>
      </c>
      <c r="I16" s="6" t="s">
        <v>78</v>
      </c>
      <c r="J16" s="6" t="s">
        <v>79</v>
      </c>
      <c r="M16" s="4" t="s">
        <v>73</v>
      </c>
      <c r="N16" s="10">
        <f t="shared" ref="N16:P16" si="10">B16 * EXP((LN(H16/B16)/10) * 9)</f>
        <v>8340822.973</v>
      </c>
      <c r="O16" s="10">
        <f t="shared" si="10"/>
        <v>3984775.269</v>
      </c>
      <c r="P16" s="13">
        <f t="shared" si="10"/>
        <v>4356047.594</v>
      </c>
    </row>
    <row r="17">
      <c r="A17" s="1" t="s">
        <v>80</v>
      </c>
      <c r="B17" s="3" t="s">
        <v>81</v>
      </c>
      <c r="C17" s="3" t="s">
        <v>82</v>
      </c>
      <c r="D17" s="12" t="s">
        <v>83</v>
      </c>
      <c r="E17" s="3"/>
      <c r="G17" s="4" t="s">
        <v>80</v>
      </c>
      <c r="H17" s="6" t="s">
        <v>84</v>
      </c>
      <c r="I17" s="6" t="s">
        <v>85</v>
      </c>
      <c r="J17" s="6" t="s">
        <v>86</v>
      </c>
      <c r="M17" s="4" t="s">
        <v>80</v>
      </c>
      <c r="N17" s="10">
        <f t="shared" ref="N17:P17" si="11">B17 * EXP((LN(H17/B17)/10) * 9)</f>
        <v>7713533.801</v>
      </c>
      <c r="O17" s="10">
        <f t="shared" si="11"/>
        <v>3699686.63</v>
      </c>
      <c r="P17" s="13">
        <f t="shared" si="11"/>
        <v>4013829.019</v>
      </c>
    </row>
    <row r="18">
      <c r="A18" s="1" t="s">
        <v>87</v>
      </c>
      <c r="B18" s="3" t="s">
        <v>88</v>
      </c>
      <c r="C18" s="3" t="s">
        <v>89</v>
      </c>
      <c r="D18" s="3" t="s">
        <v>90</v>
      </c>
      <c r="E18" s="3"/>
      <c r="G18" s="4" t="s">
        <v>87</v>
      </c>
      <c r="H18" s="6" t="s">
        <v>91</v>
      </c>
      <c r="I18" s="6" t="s">
        <v>92</v>
      </c>
      <c r="J18" s="6" t="s">
        <v>93</v>
      </c>
      <c r="M18" s="4" t="s">
        <v>87</v>
      </c>
      <c r="N18" s="10">
        <f t="shared" ref="N18:P18" si="12">B18 * EXP((LN(H18/B18)/10) * 9)</f>
        <v>6809734.967</v>
      </c>
      <c r="O18" s="10">
        <f t="shared" si="12"/>
        <v>3224920.907</v>
      </c>
      <c r="P18" s="10">
        <f t="shared" si="12"/>
        <v>3584813.052</v>
      </c>
    </row>
    <row r="19">
      <c r="A19" s="1" t="s">
        <v>94</v>
      </c>
      <c r="B19" s="3" t="s">
        <v>95</v>
      </c>
      <c r="C19" s="3" t="s">
        <v>96</v>
      </c>
      <c r="D19" s="3" t="s">
        <v>97</v>
      </c>
      <c r="E19" s="3"/>
      <c r="G19" s="4" t="s">
        <v>94</v>
      </c>
      <c r="H19" s="6" t="s">
        <v>98</v>
      </c>
      <c r="I19" s="6" t="s">
        <v>99</v>
      </c>
      <c r="J19" s="6" t="s">
        <v>100</v>
      </c>
      <c r="M19" s="4" t="s">
        <v>94</v>
      </c>
      <c r="N19" s="10">
        <f t="shared" ref="N19:P19" si="13">B19 * EXP((LN(H19/B19)/10) * 9)</f>
        <v>5483589.249</v>
      </c>
      <c r="O19" s="10">
        <f t="shared" si="13"/>
        <v>2596466.007</v>
      </c>
      <c r="P19" s="10">
        <f t="shared" si="13"/>
        <v>2887072.653</v>
      </c>
    </row>
    <row r="20">
      <c r="A20" s="1" t="s">
        <v>101</v>
      </c>
      <c r="B20" s="3" t="s">
        <v>102</v>
      </c>
      <c r="C20" s="3" t="s">
        <v>103</v>
      </c>
      <c r="D20" s="3" t="s">
        <v>104</v>
      </c>
      <c r="E20" s="3"/>
      <c r="G20" s="4" t="s">
        <v>101</v>
      </c>
      <c r="H20" s="6" t="s">
        <v>105</v>
      </c>
      <c r="I20" s="6" t="s">
        <v>106</v>
      </c>
      <c r="J20" s="6" t="s">
        <v>107</v>
      </c>
      <c r="M20" s="4" t="s">
        <v>101</v>
      </c>
      <c r="N20" s="10">
        <f t="shared" ref="N20:P20" si="14">B20 * EXP((LN(H20/B20)/10) * 9)</f>
        <v>4615244.191</v>
      </c>
      <c r="O20" s="10">
        <f t="shared" si="14"/>
        <v>2163993.301</v>
      </c>
      <c r="P20" s="10">
        <f t="shared" si="14"/>
        <v>2451225.73</v>
      </c>
    </row>
    <row r="21" ht="15.75" customHeight="1">
      <c r="A21" s="1" t="s">
        <v>108</v>
      </c>
      <c r="B21" s="3" t="s">
        <v>109</v>
      </c>
      <c r="C21" s="3" t="s">
        <v>110</v>
      </c>
      <c r="D21" s="3" t="s">
        <v>111</v>
      </c>
      <c r="E21" s="3"/>
      <c r="G21" s="4" t="s">
        <v>108</v>
      </c>
      <c r="H21" s="6" t="s">
        <v>112</v>
      </c>
      <c r="I21" s="6" t="s">
        <v>113</v>
      </c>
      <c r="J21" s="6" t="s">
        <v>114</v>
      </c>
      <c r="M21" s="4" t="s">
        <v>108</v>
      </c>
      <c r="N21" s="10">
        <f t="shared" ref="N21:P21" si="15">B21 * EXP((LN(H21/B21)/10) * 9)</f>
        <v>3483642.71</v>
      </c>
      <c r="O21" s="10">
        <f t="shared" si="15"/>
        <v>1632781.455</v>
      </c>
      <c r="P21" s="10">
        <f t="shared" si="15"/>
        <v>1850849.097</v>
      </c>
    </row>
    <row r="22" ht="15.75" customHeight="1">
      <c r="A22" s="1" t="s">
        <v>115</v>
      </c>
      <c r="B22" s="3" t="s">
        <v>116</v>
      </c>
      <c r="C22" s="3" t="s">
        <v>117</v>
      </c>
      <c r="D22" s="3" t="s">
        <v>118</v>
      </c>
      <c r="E22" s="3"/>
      <c r="G22" s="4" t="s">
        <v>115</v>
      </c>
      <c r="H22" s="6" t="s">
        <v>119</v>
      </c>
      <c r="I22" s="6" t="s">
        <v>120</v>
      </c>
      <c r="J22" s="6" t="s">
        <v>121</v>
      </c>
      <c r="M22" s="4" t="s">
        <v>115</v>
      </c>
      <c r="N22" s="10">
        <f t="shared" ref="N22:P22" si="16">B22 * EXP((LN(H22/B22)/10) * 9)</f>
        <v>2557432.492</v>
      </c>
      <c r="O22" s="10">
        <f t="shared" si="16"/>
        <v>1191704.363</v>
      </c>
      <c r="P22" s="10">
        <f t="shared" si="16"/>
        <v>1365728.053</v>
      </c>
    </row>
    <row r="23" ht="15.75" customHeight="1">
      <c r="A23" s="1" t="s">
        <v>122</v>
      </c>
      <c r="B23" s="3" t="s">
        <v>123</v>
      </c>
      <c r="C23" s="3" t="s">
        <v>124</v>
      </c>
      <c r="D23" s="3" t="s">
        <v>125</v>
      </c>
      <c r="E23" s="3"/>
      <c r="G23" s="4" t="s">
        <v>122</v>
      </c>
      <c r="H23" s="6" t="s">
        <v>126</v>
      </c>
      <c r="I23" s="6" t="s">
        <v>127</v>
      </c>
      <c r="J23" s="6" t="s">
        <v>128</v>
      </c>
      <c r="M23" s="4" t="s">
        <v>122</v>
      </c>
      <c r="N23" s="10">
        <f t="shared" ref="N23:P23" si="17">B23 * EXP((LN(H23/B23)/10) * 9)</f>
        <v>1747562.509</v>
      </c>
      <c r="O23" s="10">
        <f t="shared" si="17"/>
        <v>816260.4527</v>
      </c>
      <c r="P23" s="10">
        <f t="shared" si="17"/>
        <v>931300.9911</v>
      </c>
    </row>
    <row r="24" ht="15.75" customHeight="1">
      <c r="A24" s="1" t="s">
        <v>129</v>
      </c>
      <c r="B24" s="3" t="s">
        <v>130</v>
      </c>
      <c r="C24" s="3" t="s">
        <v>131</v>
      </c>
      <c r="D24" s="3" t="s">
        <v>132</v>
      </c>
      <c r="E24" s="3"/>
      <c r="G24" s="4" t="s">
        <v>129</v>
      </c>
      <c r="H24" s="6" t="s">
        <v>133</v>
      </c>
      <c r="I24" s="6" t="s">
        <v>134</v>
      </c>
      <c r="J24" s="6" t="s">
        <v>135</v>
      </c>
      <c r="M24" s="4" t="s">
        <v>129</v>
      </c>
      <c r="N24" s="10">
        <f t="shared" ref="N24:P24" si="18">B24 * EXP((LN(H24/B24)/10) * 9)</f>
        <v>1130853.497</v>
      </c>
      <c r="O24" s="10">
        <f t="shared" si="18"/>
        <v>503865.4831</v>
      </c>
      <c r="P24" s="10">
        <f t="shared" si="18"/>
        <v>626987.8191</v>
      </c>
    </row>
    <row r="25" ht="15.75" customHeight="1">
      <c r="A25" s="1" t="s">
        <v>136</v>
      </c>
      <c r="B25" s="3" t="s">
        <v>137</v>
      </c>
      <c r="C25" s="3" t="s">
        <v>138</v>
      </c>
      <c r="D25" s="3" t="s">
        <v>139</v>
      </c>
      <c r="E25" s="3"/>
      <c r="G25" s="4" t="s">
        <v>140</v>
      </c>
      <c r="H25" s="6" t="s">
        <v>141</v>
      </c>
      <c r="I25" s="6" t="s">
        <v>142</v>
      </c>
      <c r="J25" s="6" t="s">
        <v>143</v>
      </c>
      <c r="M25" s="4" t="s">
        <v>140</v>
      </c>
      <c r="N25" s="10">
        <f t="shared" ref="N25:P25" si="19">B25 * EXP((LN(H25/B25)/10) * 9)</f>
        <v>999712.1572</v>
      </c>
      <c r="O25" s="10">
        <f t="shared" si="19"/>
        <v>418062.4181</v>
      </c>
      <c r="P25" s="10">
        <f t="shared" si="19"/>
        <v>581639.8747</v>
      </c>
    </row>
    <row r="26" ht="15.75" customHeight="1">
      <c r="A26" s="1" t="s">
        <v>144</v>
      </c>
      <c r="B26" s="3" t="s">
        <v>145</v>
      </c>
      <c r="C26" s="3" t="s">
        <v>146</v>
      </c>
      <c r="D26" s="3" t="s">
        <v>147</v>
      </c>
      <c r="E26" s="3"/>
      <c r="G26" s="4" t="s">
        <v>144</v>
      </c>
      <c r="H26" s="6" t="s">
        <v>148</v>
      </c>
      <c r="I26" s="6" t="s">
        <v>149</v>
      </c>
      <c r="J26" s="6" t="s">
        <v>150</v>
      </c>
      <c r="M26" s="4" t="s">
        <v>144</v>
      </c>
      <c r="N26" s="10">
        <f t="shared" ref="N26:P26" si="20">B26 * EXP((LN(H26/B26)/10) * 9)</f>
        <v>321833.2449</v>
      </c>
      <c r="O26" s="10">
        <f t="shared" si="20"/>
        <v>160422.6059</v>
      </c>
      <c r="P26" s="10">
        <f t="shared" si="20"/>
        <v>161410.1483</v>
      </c>
    </row>
    <row r="27" ht="15.75" customHeight="1">
      <c r="B27" s="3"/>
      <c r="C27" s="3"/>
      <c r="D27" s="3"/>
      <c r="E27" s="3"/>
      <c r="G27" s="4"/>
      <c r="H27" s="6"/>
      <c r="I27" s="6"/>
      <c r="J27" s="6"/>
    </row>
    <row r="28" ht="15.75" customHeight="1">
      <c r="B28" s="3"/>
      <c r="C28" s="3"/>
      <c r="D28" s="3"/>
      <c r="E28" s="3"/>
      <c r="G28" s="4"/>
      <c r="H28" s="6"/>
      <c r="I28" s="6"/>
      <c r="J28" s="6"/>
    </row>
    <row r="29" ht="15.75" customHeight="1">
      <c r="B29" s="3"/>
      <c r="C29" s="3"/>
      <c r="D29" s="3"/>
      <c r="E29" s="3"/>
      <c r="G29" s="4"/>
      <c r="H29" s="6"/>
      <c r="I29" s="6"/>
      <c r="J29" s="6"/>
    </row>
    <row r="30" ht="15.75" customHeight="1">
      <c r="A30" s="1" t="s">
        <v>151</v>
      </c>
      <c r="B30" s="3"/>
      <c r="C30" s="3"/>
      <c r="D30" s="3"/>
      <c r="E30" s="3"/>
      <c r="G30" s="4" t="s">
        <v>152</v>
      </c>
      <c r="H30" s="6"/>
      <c r="I30" s="6"/>
      <c r="J30" s="6"/>
    </row>
    <row r="31" ht="15.75" customHeight="1">
      <c r="B31" s="3"/>
      <c r="C31" s="3"/>
      <c r="D31" s="3"/>
      <c r="E31" s="3"/>
    </row>
    <row r="32" ht="15.75" customHeight="1"/>
    <row r="33" ht="15.75" customHeight="1"/>
    <row r="34" ht="15.75" customHeight="1">
      <c r="C34" s="7" t="s">
        <v>153</v>
      </c>
      <c r="M34" s="14" t="s">
        <v>154</v>
      </c>
    </row>
    <row r="35" ht="15.75" customHeight="1">
      <c r="A35" s="15"/>
      <c r="B35" s="16"/>
      <c r="C35" s="16"/>
      <c r="D35" s="16"/>
      <c r="M35" s="15" t="s">
        <v>155</v>
      </c>
      <c r="N35" s="16"/>
      <c r="O35" s="16"/>
      <c r="P35" s="16"/>
      <c r="Q35" s="17"/>
      <c r="R35" s="16"/>
      <c r="S35" s="16"/>
      <c r="T35" s="16"/>
    </row>
    <row r="36" ht="15.75" customHeight="1">
      <c r="A36" s="18" t="s">
        <v>156</v>
      </c>
      <c r="B36" s="18" t="s">
        <v>157</v>
      </c>
      <c r="C36" s="18" t="s">
        <v>158</v>
      </c>
      <c r="D36" s="18" t="s">
        <v>159</v>
      </c>
      <c r="F36" s="18" t="s">
        <v>157</v>
      </c>
      <c r="G36" s="19" t="s">
        <v>160</v>
      </c>
      <c r="H36" s="20" t="s">
        <v>161</v>
      </c>
      <c r="I36" s="21"/>
      <c r="M36" s="18" t="s">
        <v>156</v>
      </c>
      <c r="N36" s="18" t="s">
        <v>157</v>
      </c>
      <c r="O36" s="18" t="s">
        <v>158</v>
      </c>
      <c r="P36" s="18" t="s">
        <v>159</v>
      </c>
      <c r="Q36" s="17"/>
      <c r="R36" s="18" t="s">
        <v>157</v>
      </c>
      <c r="S36" s="19" t="s">
        <v>160</v>
      </c>
      <c r="T36" s="20" t="s">
        <v>161</v>
      </c>
    </row>
    <row r="37" ht="15.75" customHeight="1">
      <c r="A37" s="22">
        <v>40186.0</v>
      </c>
      <c r="B37" s="23">
        <f>2010 + 7/12 + 1/365</f>
        <v>2010.586073</v>
      </c>
      <c r="C37" s="24" t="str">
        <f>B7</f>
        <v>112,336,538</v>
      </c>
      <c r="D37" s="25">
        <f>LN(C38/C37)/B39</f>
        <v>0.01138542679</v>
      </c>
      <c r="F37" s="26">
        <f>2019+6/12+0/365</f>
        <v>2019.5</v>
      </c>
      <c r="G37" s="26">
        <f>F37-B37</f>
        <v>8.913926941</v>
      </c>
      <c r="H37" s="27">
        <f>C37*EXP(D38*G38)</f>
        <v>112336538</v>
      </c>
      <c r="I37" s="21"/>
      <c r="M37" s="22">
        <v>40186.0</v>
      </c>
      <c r="N37" s="23">
        <f>2010 + 7/12 + 1/365</f>
        <v>2010.586073</v>
      </c>
      <c r="O37" s="24" t="str">
        <f>D11</f>
        <v>5,505,991</v>
      </c>
      <c r="P37" s="25">
        <f>LN(O38/O37)/N39</f>
        <v>-0.002949196014</v>
      </c>
      <c r="Q37" s="17"/>
      <c r="R37" s="26">
        <f>2019+6/12+0/365</f>
        <v>2019.5</v>
      </c>
      <c r="S37" s="26">
        <f>R37-N37</f>
        <v>8.913926941</v>
      </c>
      <c r="T37" s="26">
        <f>O37*EXP(P37*S37)</f>
        <v>5363130.507</v>
      </c>
    </row>
    <row r="38" ht="15.75" customHeight="1">
      <c r="A38" s="28">
        <v>43708.0</v>
      </c>
      <c r="B38" s="29">
        <f>2019 + 7/12 + 31/365</f>
        <v>2019.668265</v>
      </c>
      <c r="C38" s="30">
        <f>N7</f>
        <v>124574483.6</v>
      </c>
      <c r="D38" s="31"/>
      <c r="F38" s="31"/>
      <c r="G38" s="31"/>
      <c r="H38" s="31"/>
      <c r="I38" s="21"/>
      <c r="M38" s="28">
        <v>43708.0</v>
      </c>
      <c r="N38" s="29">
        <f>2019 + 7/12 + 31/365</f>
        <v>2019.668265</v>
      </c>
      <c r="O38" s="30">
        <f>P11</f>
        <v>5360469.735</v>
      </c>
      <c r="P38" s="31"/>
      <c r="Q38" s="17"/>
      <c r="R38" s="31"/>
      <c r="S38" s="31"/>
      <c r="T38" s="31"/>
    </row>
    <row r="39" ht="15.75" customHeight="1">
      <c r="A39" s="32" t="s">
        <v>160</v>
      </c>
      <c r="B39" s="29">
        <f>B38-B37</f>
        <v>9.082191781</v>
      </c>
      <c r="C39" s="21"/>
      <c r="D39" s="21"/>
      <c r="M39" s="32" t="s">
        <v>160</v>
      </c>
      <c r="N39" s="29">
        <f>N38-N37</f>
        <v>9.082191781</v>
      </c>
      <c r="O39" s="21"/>
      <c r="P39" s="21"/>
      <c r="Q39" s="17"/>
      <c r="R39" s="17"/>
      <c r="S39" s="17"/>
      <c r="T39" s="17"/>
    </row>
    <row r="40" ht="15.75" customHeight="1">
      <c r="A40" s="21"/>
      <c r="B40" s="21"/>
      <c r="C40" s="21"/>
      <c r="D40" s="21"/>
      <c r="M40" s="21"/>
      <c r="N40" s="21"/>
      <c r="O40" s="21"/>
      <c r="P40" s="17"/>
      <c r="Q40" s="17"/>
      <c r="R40" s="17"/>
      <c r="S40" s="17"/>
      <c r="T40" s="17"/>
    </row>
    <row r="41" ht="15.75" customHeight="1">
      <c r="M41" s="7" t="s">
        <v>162</v>
      </c>
    </row>
    <row r="42" ht="15.75" customHeight="1">
      <c r="M42" s="18" t="s">
        <v>156</v>
      </c>
      <c r="N42" s="18" t="s">
        <v>157</v>
      </c>
      <c r="O42" s="18" t="s">
        <v>158</v>
      </c>
      <c r="P42" s="18" t="s">
        <v>159</v>
      </c>
      <c r="Q42" s="17"/>
      <c r="R42" s="18" t="s">
        <v>157</v>
      </c>
      <c r="S42" s="19" t="s">
        <v>160</v>
      </c>
      <c r="T42" s="20" t="s">
        <v>161</v>
      </c>
    </row>
    <row r="43" ht="15.75" customHeight="1">
      <c r="M43" s="22">
        <v>40186.0</v>
      </c>
      <c r="N43" s="23">
        <f>2010 + 7/12 + 1/365</f>
        <v>2010.586073</v>
      </c>
      <c r="O43" s="24" t="str">
        <f>D12</f>
        <v>5,079,067</v>
      </c>
      <c r="P43" s="25">
        <f>LN(O44/O43)/N45</f>
        <v>0.003397258971</v>
      </c>
      <c r="Q43" s="17"/>
      <c r="R43" s="26">
        <f>2019+6/12+0/365</f>
        <v>2019.5</v>
      </c>
      <c r="S43" s="26">
        <f>R43-N43</f>
        <v>8.913926941</v>
      </c>
      <c r="T43" s="26">
        <f>O43*EXP(P43*S43)</f>
        <v>5235228.551</v>
      </c>
    </row>
    <row r="44" ht="15.75" customHeight="1">
      <c r="M44" s="28">
        <v>43708.0</v>
      </c>
      <c r="N44" s="29">
        <f>2019 + 7/12 + 31/365</f>
        <v>2019.668265</v>
      </c>
      <c r="O44" s="30">
        <f>P12</f>
        <v>5238222.068</v>
      </c>
      <c r="P44" s="31"/>
      <c r="Q44" s="17"/>
      <c r="R44" s="31"/>
      <c r="S44" s="31"/>
      <c r="T44" s="31"/>
    </row>
    <row r="45" ht="15.75" customHeight="1">
      <c r="M45" s="32" t="s">
        <v>160</v>
      </c>
      <c r="N45" s="29">
        <f>N44-N43</f>
        <v>9.082191781</v>
      </c>
      <c r="O45" s="21"/>
      <c r="P45" s="21"/>
      <c r="Q45" s="17"/>
      <c r="R45" s="17"/>
      <c r="S45" s="17"/>
      <c r="T45" s="17"/>
    </row>
    <row r="46" ht="15.75" customHeight="1"/>
    <row r="47" ht="15.75" customHeight="1">
      <c r="M47" s="7" t="s">
        <v>163</v>
      </c>
    </row>
    <row r="48" ht="15.75" customHeight="1">
      <c r="M48" s="18" t="s">
        <v>156</v>
      </c>
      <c r="N48" s="18" t="s">
        <v>157</v>
      </c>
      <c r="O48" s="18" t="s">
        <v>158</v>
      </c>
      <c r="P48" s="18" t="s">
        <v>159</v>
      </c>
      <c r="Q48" s="17"/>
      <c r="R48" s="18" t="s">
        <v>157</v>
      </c>
      <c r="S48" s="19" t="s">
        <v>160</v>
      </c>
      <c r="T48" s="20" t="s">
        <v>161</v>
      </c>
    </row>
    <row r="49" ht="15.75" customHeight="1">
      <c r="M49" s="22">
        <v>40186.0</v>
      </c>
      <c r="N49" s="23">
        <f>2010 + 7/12 + 1/365</f>
        <v>2010.586073</v>
      </c>
      <c r="O49" s="24" t="str">
        <f>D13</f>
        <v>4,582,202</v>
      </c>
      <c r="P49" s="25">
        <f>LN(O50/O49)/N51</f>
        <v>0.01122124767</v>
      </c>
      <c r="Q49" s="17"/>
      <c r="R49" s="26">
        <f>2019+6/12+0/365</f>
        <v>2019.5</v>
      </c>
      <c r="S49" s="26">
        <f>R49-N49</f>
        <v>8.913926941</v>
      </c>
      <c r="T49" s="26">
        <f>O49*EXP(P49*S49)</f>
        <v>5064244.93</v>
      </c>
    </row>
    <row r="50" ht="15.75" customHeight="1">
      <c r="M50" s="28">
        <v>43708.0</v>
      </c>
      <c r="N50" s="29">
        <f>2019 + 7/12 + 31/365</f>
        <v>2019.668265</v>
      </c>
      <c r="O50" s="30">
        <f>P13</f>
        <v>5073815.973</v>
      </c>
      <c r="P50" s="31"/>
      <c r="Q50" s="17"/>
      <c r="R50" s="31"/>
      <c r="S50" s="31"/>
      <c r="T50" s="31"/>
    </row>
    <row r="51" ht="15.75" customHeight="1">
      <c r="M51" s="32" t="s">
        <v>160</v>
      </c>
      <c r="N51" s="29">
        <f>N50-N49</f>
        <v>9.082191781</v>
      </c>
      <c r="O51" s="21"/>
      <c r="P51" s="21"/>
      <c r="Q51" s="17"/>
      <c r="R51" s="17"/>
      <c r="S51" s="17"/>
      <c r="T51" s="17"/>
    </row>
    <row r="52" ht="15.75" customHeight="1"/>
    <row r="53" ht="15.75" customHeight="1">
      <c r="M53" s="7" t="s">
        <v>164</v>
      </c>
    </row>
    <row r="54" ht="15.75" customHeight="1">
      <c r="M54" s="18" t="s">
        <v>156</v>
      </c>
      <c r="N54" s="18" t="s">
        <v>157</v>
      </c>
      <c r="O54" s="18" t="s">
        <v>158</v>
      </c>
      <c r="P54" s="18" t="s">
        <v>159</v>
      </c>
      <c r="Q54" s="17"/>
      <c r="R54" s="18" t="s">
        <v>157</v>
      </c>
      <c r="S54" s="19" t="s">
        <v>160</v>
      </c>
      <c r="T54" s="20" t="s">
        <v>161</v>
      </c>
    </row>
    <row r="55" ht="15.75" customHeight="1">
      <c r="M55" s="22">
        <v>40186.0</v>
      </c>
      <c r="N55" s="23">
        <f>2010 + 7/12 + 1/365</f>
        <v>2010.586073</v>
      </c>
      <c r="O55" s="24" t="str">
        <f>D14</f>
        <v>4,444,767</v>
      </c>
      <c r="P55" s="25">
        <f>LN(O56/O55)/N57</f>
        <v>0.009522913224</v>
      </c>
      <c r="Q55" s="17"/>
      <c r="R55" s="26">
        <f>2019+6/12+0/365</f>
        <v>2019.5</v>
      </c>
      <c r="S55" s="26">
        <f>R55-N55</f>
        <v>8.913926941</v>
      </c>
      <c r="T55" s="26">
        <f>O55*EXP(P55*S55)</f>
        <v>4838544.74</v>
      </c>
    </row>
    <row r="56" ht="15.75" customHeight="1">
      <c r="M56" s="28">
        <v>43708.0</v>
      </c>
      <c r="N56" s="29">
        <f>2019 + 7/12 + 31/365</f>
        <v>2019.668265</v>
      </c>
      <c r="O56" s="30">
        <f>P14</f>
        <v>4846304.101</v>
      </c>
      <c r="P56" s="31"/>
      <c r="Q56" s="17"/>
      <c r="R56" s="31"/>
      <c r="S56" s="31"/>
      <c r="T56" s="31"/>
    </row>
    <row r="57" ht="15.75" customHeight="1">
      <c r="M57" s="32" t="s">
        <v>160</v>
      </c>
      <c r="N57" s="29">
        <f>N56-N55</f>
        <v>9.082191781</v>
      </c>
      <c r="O57" s="21"/>
      <c r="P57" s="21"/>
      <c r="Q57" s="17"/>
      <c r="R57" s="17"/>
      <c r="S57" s="17"/>
      <c r="T57" s="17"/>
    </row>
    <row r="58" ht="15.75" customHeight="1"/>
    <row r="59" ht="15.75" customHeight="1">
      <c r="M59" s="7" t="s">
        <v>165</v>
      </c>
    </row>
    <row r="60" ht="15.75" customHeight="1">
      <c r="M60" s="18" t="s">
        <v>156</v>
      </c>
      <c r="N60" s="18" t="s">
        <v>157</v>
      </c>
      <c r="O60" s="18" t="s">
        <v>158</v>
      </c>
      <c r="P60" s="18" t="s">
        <v>159</v>
      </c>
      <c r="Q60" s="17"/>
      <c r="R60" s="18" t="s">
        <v>157</v>
      </c>
      <c r="S60" s="19" t="s">
        <v>160</v>
      </c>
      <c r="T60" s="20" t="s">
        <v>161</v>
      </c>
    </row>
    <row r="61" ht="15.75" customHeight="1">
      <c r="M61" s="22">
        <v>40186.0</v>
      </c>
      <c r="N61" s="23">
        <f>2010 + 7/12 + 1/365</f>
        <v>2010.586073</v>
      </c>
      <c r="O61" s="24" t="str">
        <f>D15</f>
        <v>4,328,249</v>
      </c>
      <c r="P61" s="25">
        <f>LN(O62/O61)/N63</f>
        <v>0.007927809619</v>
      </c>
      <c r="Q61" s="17"/>
      <c r="R61" s="26">
        <f>2019+6/12+0/365</f>
        <v>2019.5</v>
      </c>
      <c r="S61" s="26">
        <f>R61-N61</f>
        <v>8.913926941</v>
      </c>
      <c r="T61" s="26">
        <f>O61*EXP(P61*S61)</f>
        <v>4645184.019</v>
      </c>
    </row>
    <row r="62" ht="15.75" customHeight="1">
      <c r="M62" s="28">
        <v>43708.0</v>
      </c>
      <c r="N62" s="29">
        <f>2019 + 7/12 + 31/365</f>
        <v>2019.668265</v>
      </c>
      <c r="O62" s="30">
        <f>P15</f>
        <v>4651384.697</v>
      </c>
      <c r="P62" s="31"/>
      <c r="Q62" s="17"/>
      <c r="R62" s="31"/>
      <c r="S62" s="31"/>
      <c r="T62" s="31"/>
    </row>
    <row r="63" ht="15.75" customHeight="1">
      <c r="M63" s="32" t="s">
        <v>160</v>
      </c>
      <c r="N63" s="29">
        <f>N62-N61</f>
        <v>9.082191781</v>
      </c>
      <c r="O63" s="21"/>
      <c r="P63" s="21"/>
      <c r="Q63" s="17"/>
      <c r="R63" s="17"/>
      <c r="S63" s="17"/>
      <c r="T63" s="17"/>
    </row>
    <row r="64" ht="15.75" customHeight="1"/>
    <row r="65" ht="15.75" customHeight="1">
      <c r="M65" s="7" t="s">
        <v>166</v>
      </c>
    </row>
    <row r="66" ht="15.75" customHeight="1">
      <c r="M66" s="18" t="s">
        <v>156</v>
      </c>
      <c r="N66" s="18" t="s">
        <v>157</v>
      </c>
      <c r="O66" s="18" t="s">
        <v>158</v>
      </c>
      <c r="P66" s="18" t="s">
        <v>159</v>
      </c>
      <c r="Q66" s="17"/>
      <c r="R66" s="18" t="s">
        <v>157</v>
      </c>
      <c r="S66" s="19" t="s">
        <v>160</v>
      </c>
      <c r="T66" s="20" t="s">
        <v>161</v>
      </c>
    </row>
    <row r="67" ht="15.75" customHeight="1">
      <c r="M67" s="22">
        <v>40186.0</v>
      </c>
      <c r="N67" s="23">
        <f>2010 + 7/12 + 1/365</f>
        <v>2010.586073</v>
      </c>
      <c r="O67" s="24" t="str">
        <f>D16</f>
        <v>3,658,904</v>
      </c>
      <c r="P67" s="25">
        <f>LN(O68/O67)/N69</f>
        <v>0.01920257645</v>
      </c>
      <c r="Q67" s="17"/>
      <c r="R67" s="26">
        <f>2019+6/12+0/365</f>
        <v>2019.5</v>
      </c>
      <c r="S67" s="26">
        <f>R67-N67</f>
        <v>8.913926941</v>
      </c>
      <c r="T67" s="26">
        <f>O67*EXP(P67*S67)</f>
        <v>4341995.402</v>
      </c>
    </row>
    <row r="68" ht="15.75" customHeight="1">
      <c r="M68" s="28">
        <v>43708.0</v>
      </c>
      <c r="N68" s="29">
        <f>2019 + 7/12 + 31/365</f>
        <v>2019.668265</v>
      </c>
      <c r="O68" s="30">
        <f>P16</f>
        <v>4356047.594</v>
      </c>
      <c r="P68" s="31"/>
      <c r="Q68" s="17"/>
      <c r="R68" s="31"/>
      <c r="S68" s="31"/>
      <c r="T68" s="31"/>
    </row>
    <row r="69" ht="15.75" customHeight="1">
      <c r="M69" s="32" t="s">
        <v>160</v>
      </c>
      <c r="N69" s="29">
        <f>N68-N67</f>
        <v>9.082191781</v>
      </c>
      <c r="O69" s="21"/>
      <c r="P69" s="21"/>
      <c r="Q69" s="17"/>
      <c r="R69" s="17"/>
      <c r="S69" s="17"/>
      <c r="T69" s="17"/>
    </row>
    <row r="70" ht="15.75" customHeight="1"/>
    <row r="71" ht="15.75" customHeight="1">
      <c r="M71" s="7" t="s">
        <v>167</v>
      </c>
    </row>
    <row r="72" ht="15.75" customHeight="1">
      <c r="M72" s="18" t="s">
        <v>156</v>
      </c>
      <c r="N72" s="18" t="s">
        <v>157</v>
      </c>
      <c r="O72" s="18" t="s">
        <v>158</v>
      </c>
      <c r="P72" s="18" t="s">
        <v>159</v>
      </c>
      <c r="Q72" s="17"/>
      <c r="R72" s="18" t="s">
        <v>157</v>
      </c>
      <c r="S72" s="19" t="s">
        <v>160</v>
      </c>
      <c r="T72" s="20" t="s">
        <v>161</v>
      </c>
    </row>
    <row r="73" ht="15.75" customHeight="1">
      <c r="M73" s="22">
        <v>40186.0</v>
      </c>
      <c r="N73" s="23">
        <f>2010 + 7/12 + 1/365</f>
        <v>2010.586073</v>
      </c>
      <c r="O73" s="24" t="str">
        <f>D17</f>
        <v>3,104,366</v>
      </c>
      <c r="P73" s="25">
        <f>LN(O74/O73)/N75</f>
        <v>0.0282901035</v>
      </c>
      <c r="Q73" s="17"/>
      <c r="R73" s="26">
        <f>2019+6/12+0/365</f>
        <v>2019.5</v>
      </c>
      <c r="S73" s="26">
        <f>R73-N73</f>
        <v>8.913926941</v>
      </c>
      <c r="T73" s="26">
        <f>O73*EXP(P73*S73)</f>
        <v>3994767.675</v>
      </c>
    </row>
    <row r="74" ht="15.75" customHeight="1">
      <c r="M74" s="28">
        <v>43708.0</v>
      </c>
      <c r="N74" s="29">
        <f>2019 + 7/12 + 31/365</f>
        <v>2019.668265</v>
      </c>
      <c r="O74" s="30">
        <f>P17</f>
        <v>4013829.019</v>
      </c>
      <c r="P74" s="31"/>
      <c r="Q74" s="17"/>
      <c r="R74" s="31"/>
      <c r="S74" s="31"/>
      <c r="T74" s="31"/>
    </row>
    <row r="75" ht="15.75" customHeight="1">
      <c r="M75" s="32" t="s">
        <v>160</v>
      </c>
      <c r="N75" s="29">
        <f>N74-N73</f>
        <v>9.082191781</v>
      </c>
      <c r="O75" s="21"/>
      <c r="P75" s="21"/>
      <c r="Q75" s="17"/>
      <c r="R75" s="17"/>
      <c r="S75" s="17"/>
      <c r="T75" s="1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C34:D34"/>
    <mergeCell ref="M34:T34"/>
    <mergeCell ref="D37:D38"/>
    <mergeCell ref="F37:F38"/>
    <mergeCell ref="G37:G38"/>
    <mergeCell ref="H37:H38"/>
    <mergeCell ref="P37:P38"/>
    <mergeCell ref="T37:T38"/>
    <mergeCell ref="R37:R38"/>
    <mergeCell ref="S37:S38"/>
    <mergeCell ref="P43:P44"/>
    <mergeCell ref="R43:R44"/>
    <mergeCell ref="S43:S44"/>
    <mergeCell ref="T43:T44"/>
    <mergeCell ref="P49:P50"/>
    <mergeCell ref="T49:T50"/>
    <mergeCell ref="R49:R50"/>
    <mergeCell ref="S49:S50"/>
    <mergeCell ref="P55:P56"/>
    <mergeCell ref="R55:R56"/>
    <mergeCell ref="S55:S56"/>
    <mergeCell ref="T55:T56"/>
    <mergeCell ref="P61:P62"/>
    <mergeCell ref="T61:T62"/>
    <mergeCell ref="R73:R74"/>
    <mergeCell ref="S73:S74"/>
    <mergeCell ref="R61:R62"/>
    <mergeCell ref="S61:S62"/>
    <mergeCell ref="P67:P68"/>
    <mergeCell ref="R67:R68"/>
    <mergeCell ref="S67:S68"/>
    <mergeCell ref="T67:T68"/>
    <mergeCell ref="P73:P74"/>
    <mergeCell ref="T73:T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7" max="7" width="21.0"/>
  </cols>
  <sheetData>
    <row r="1">
      <c r="A1" s="4" t="s">
        <v>0</v>
      </c>
      <c r="B1" s="6"/>
      <c r="C1" s="6"/>
      <c r="D1" s="6"/>
      <c r="E1" s="6"/>
      <c r="G1" s="4" t="s">
        <v>0</v>
      </c>
      <c r="H1" s="6"/>
      <c r="I1" s="6"/>
      <c r="J1" s="6"/>
      <c r="K1" s="6"/>
    </row>
    <row r="2">
      <c r="A2" s="4" t="s">
        <v>168</v>
      </c>
      <c r="B2" s="6"/>
      <c r="C2" s="6"/>
      <c r="D2" s="6"/>
      <c r="E2" s="6"/>
      <c r="G2" s="4" t="s">
        <v>168</v>
      </c>
      <c r="H2" s="6"/>
      <c r="I2" s="6"/>
      <c r="J2" s="6"/>
      <c r="K2" s="6"/>
    </row>
    <row r="3">
      <c r="A3" s="4" t="s">
        <v>3</v>
      </c>
      <c r="B3" s="6"/>
      <c r="C3" s="6"/>
      <c r="D3" s="6"/>
      <c r="E3" s="6"/>
      <c r="G3" s="4" t="s">
        <v>3</v>
      </c>
      <c r="H3" s="6"/>
      <c r="I3" s="6"/>
      <c r="J3" s="6"/>
      <c r="K3" s="6"/>
    </row>
    <row r="4">
      <c r="A4" s="4" t="s">
        <v>4</v>
      </c>
      <c r="B4" s="6"/>
      <c r="C4" s="6"/>
      <c r="D4" s="6"/>
      <c r="E4" s="6"/>
      <c r="G4" s="4" t="s">
        <v>5</v>
      </c>
      <c r="H4" s="6"/>
      <c r="I4" s="6"/>
      <c r="J4" s="6"/>
      <c r="K4" s="6"/>
    </row>
    <row r="5">
      <c r="A5" s="4"/>
      <c r="B5" s="6"/>
      <c r="C5" s="6"/>
      <c r="D5" s="6"/>
      <c r="E5" s="6"/>
      <c r="G5" s="4"/>
      <c r="H5" s="6"/>
      <c r="I5" s="6"/>
      <c r="J5" s="6"/>
      <c r="K5" s="6"/>
    </row>
    <row r="6">
      <c r="A6" s="4" t="s">
        <v>3</v>
      </c>
      <c r="B6" s="6" t="s">
        <v>6</v>
      </c>
      <c r="C6" s="6" t="s">
        <v>7</v>
      </c>
      <c r="D6" s="6" t="s">
        <v>8</v>
      </c>
      <c r="E6" s="6"/>
      <c r="G6" s="4" t="s">
        <v>3</v>
      </c>
      <c r="H6" s="6" t="s">
        <v>6</v>
      </c>
      <c r="I6" s="6" t="s">
        <v>9</v>
      </c>
      <c r="J6" s="6" t="s">
        <v>10</v>
      </c>
      <c r="K6" s="6"/>
      <c r="N6" s="6" t="s">
        <v>6</v>
      </c>
      <c r="O6" s="6" t="s">
        <v>9</v>
      </c>
      <c r="P6" s="6" t="s">
        <v>10</v>
      </c>
    </row>
    <row r="7">
      <c r="A7" s="4" t="s">
        <v>6</v>
      </c>
      <c r="B7" s="6" t="s">
        <v>169</v>
      </c>
      <c r="C7" s="6" t="s">
        <v>170</v>
      </c>
      <c r="D7" s="6" t="s">
        <v>171</v>
      </c>
      <c r="E7" s="6"/>
      <c r="G7" s="4" t="s">
        <v>6</v>
      </c>
      <c r="H7" s="6" t="s">
        <v>172</v>
      </c>
      <c r="I7" s="6" t="s">
        <v>173</v>
      </c>
      <c r="J7" s="6" t="s">
        <v>174</v>
      </c>
      <c r="K7" s="6"/>
      <c r="M7" s="4" t="s">
        <v>6</v>
      </c>
      <c r="N7" s="33">
        <f t="shared" ref="N7:P7" si="1">B7 * EXP((LN(H7/B7)/10) * 9)</f>
        <v>8019625.222</v>
      </c>
      <c r="O7" s="33">
        <f t="shared" si="1"/>
        <v>3853793.354</v>
      </c>
      <c r="P7" s="33">
        <f t="shared" si="1"/>
        <v>4165816.031</v>
      </c>
    </row>
    <row r="8">
      <c r="A8" s="4" t="s">
        <v>17</v>
      </c>
      <c r="B8" s="6" t="s">
        <v>175</v>
      </c>
      <c r="C8" s="6" t="s">
        <v>176</v>
      </c>
      <c r="D8" s="6" t="s">
        <v>177</v>
      </c>
      <c r="E8" s="6"/>
      <c r="G8" s="4" t="s">
        <v>17</v>
      </c>
      <c r="H8" s="6" t="s">
        <v>178</v>
      </c>
      <c r="I8" s="6" t="s">
        <v>179</v>
      </c>
      <c r="J8" s="6" t="s">
        <v>180</v>
      </c>
      <c r="K8" s="6"/>
      <c r="M8" s="4" t="s">
        <v>17</v>
      </c>
      <c r="N8" s="33">
        <f t="shared" ref="N8:P8" si="2">B8 * EXP((LN(H8/B8)/10) * 9)</f>
        <v>606185.57</v>
      </c>
      <c r="O8" s="33">
        <f t="shared" si="2"/>
        <v>306242.1589</v>
      </c>
      <c r="P8" s="33">
        <f t="shared" si="2"/>
        <v>299942.8809</v>
      </c>
    </row>
    <row r="9">
      <c r="A9" s="4" t="s">
        <v>24</v>
      </c>
      <c r="B9" s="6" t="s">
        <v>181</v>
      </c>
      <c r="C9" s="6" t="s">
        <v>182</v>
      </c>
      <c r="D9" s="6" t="s">
        <v>183</v>
      </c>
      <c r="E9" s="6"/>
      <c r="G9" s="4" t="s">
        <v>24</v>
      </c>
      <c r="H9" s="6" t="s">
        <v>184</v>
      </c>
      <c r="I9" s="6" t="s">
        <v>185</v>
      </c>
      <c r="J9" s="6" t="s">
        <v>186</v>
      </c>
      <c r="K9" s="6"/>
      <c r="M9" s="4" t="s">
        <v>24</v>
      </c>
      <c r="N9" s="33">
        <f t="shared" ref="N9:P9" si="3">B9 * EXP((LN(H9/B9)/10) * 9)</f>
        <v>680358.2259</v>
      </c>
      <c r="O9" s="33">
        <f t="shared" si="3"/>
        <v>344984.7738</v>
      </c>
      <c r="P9" s="33">
        <f t="shared" si="3"/>
        <v>335373.4352</v>
      </c>
    </row>
    <row r="10">
      <c r="A10" s="4" t="s">
        <v>31</v>
      </c>
      <c r="B10" s="6" t="s">
        <v>187</v>
      </c>
      <c r="C10" s="6" t="s">
        <v>188</v>
      </c>
      <c r="D10" s="6" t="s">
        <v>189</v>
      </c>
      <c r="E10" s="6"/>
      <c r="G10" s="4" t="s">
        <v>31</v>
      </c>
      <c r="H10" s="6" t="s">
        <v>190</v>
      </c>
      <c r="I10" s="6" t="s">
        <v>191</v>
      </c>
      <c r="J10" s="6" t="s">
        <v>192</v>
      </c>
      <c r="K10" s="6"/>
      <c r="M10" s="4" t="s">
        <v>31</v>
      </c>
      <c r="N10" s="33">
        <f t="shared" ref="N10:P10" si="4">B10 * EXP((LN(H10/B10)/10) * 9)</f>
        <v>690877.5889</v>
      </c>
      <c r="O10" s="33">
        <f t="shared" si="4"/>
        <v>350499.2695</v>
      </c>
      <c r="P10" s="33">
        <f t="shared" si="4"/>
        <v>340378.1708</v>
      </c>
    </row>
    <row r="11">
      <c r="A11" s="4" t="s">
        <v>38</v>
      </c>
      <c r="B11" s="6" t="s">
        <v>193</v>
      </c>
      <c r="C11" s="6" t="s">
        <v>194</v>
      </c>
      <c r="D11" s="34" t="s">
        <v>195</v>
      </c>
      <c r="E11" s="6"/>
      <c r="G11" s="4" t="s">
        <v>38</v>
      </c>
      <c r="H11" s="6" t="s">
        <v>196</v>
      </c>
      <c r="I11" s="6" t="s">
        <v>197</v>
      </c>
      <c r="J11" s="6" t="s">
        <v>198</v>
      </c>
      <c r="K11" s="6"/>
      <c r="M11" s="4" t="s">
        <v>38</v>
      </c>
      <c r="N11" s="33">
        <f t="shared" ref="N11:P11" si="5">B11 * EXP((LN(H11/B11)/10) * 9)</f>
        <v>688958.6798</v>
      </c>
      <c r="O11" s="33">
        <f t="shared" si="5"/>
        <v>347703.3642</v>
      </c>
      <c r="P11" s="35">
        <f t="shared" si="5"/>
        <v>341254.3601</v>
      </c>
    </row>
    <row r="12">
      <c r="A12" s="4" t="s">
        <v>45</v>
      </c>
      <c r="B12" s="6" t="s">
        <v>199</v>
      </c>
      <c r="C12" s="6" t="s">
        <v>200</v>
      </c>
      <c r="D12" s="34" t="s">
        <v>201</v>
      </c>
      <c r="E12" s="6"/>
      <c r="G12" s="4" t="s">
        <v>45</v>
      </c>
      <c r="H12" s="6" t="s">
        <v>202</v>
      </c>
      <c r="I12" s="6" t="s">
        <v>203</v>
      </c>
      <c r="J12" s="6" t="s">
        <v>204</v>
      </c>
      <c r="K12" s="6"/>
      <c r="M12" s="4" t="s">
        <v>45</v>
      </c>
      <c r="N12" s="33">
        <f t="shared" ref="N12:P12" si="6">B12 * EXP((LN(H12/B12)/10) * 9)</f>
        <v>604439.0338</v>
      </c>
      <c r="O12" s="33">
        <f t="shared" si="6"/>
        <v>293844.8534</v>
      </c>
      <c r="P12" s="35">
        <f t="shared" si="6"/>
        <v>310587.3017</v>
      </c>
    </row>
    <row r="13">
      <c r="A13" s="4" t="s">
        <v>52</v>
      </c>
      <c r="B13" s="6" t="s">
        <v>205</v>
      </c>
      <c r="C13" s="6" t="s">
        <v>206</v>
      </c>
      <c r="D13" s="34" t="s">
        <v>207</v>
      </c>
      <c r="E13" s="6"/>
      <c r="G13" s="4" t="s">
        <v>52</v>
      </c>
      <c r="H13" s="6" t="s">
        <v>208</v>
      </c>
      <c r="I13" s="6" t="s">
        <v>209</v>
      </c>
      <c r="J13" s="6" t="s">
        <v>210</v>
      </c>
      <c r="K13" s="6"/>
      <c r="M13" s="4" t="s">
        <v>52</v>
      </c>
      <c r="N13" s="33">
        <f t="shared" ref="N13:P13" si="7">B13 * EXP((LN(H13/B13)/10) * 9)</f>
        <v>578114.2809</v>
      </c>
      <c r="O13" s="33">
        <f t="shared" si="7"/>
        <v>271299.7006</v>
      </c>
      <c r="P13" s="35">
        <f t="shared" si="7"/>
        <v>306811.7822</v>
      </c>
    </row>
    <row r="14">
      <c r="A14" s="4" t="s">
        <v>59</v>
      </c>
      <c r="B14" s="6" t="s">
        <v>211</v>
      </c>
      <c r="C14" s="6" t="s">
        <v>212</v>
      </c>
      <c r="D14" s="34" t="s">
        <v>213</v>
      </c>
      <c r="E14" s="6"/>
      <c r="G14" s="4" t="s">
        <v>59</v>
      </c>
      <c r="H14" s="6" t="s">
        <v>214</v>
      </c>
      <c r="I14" s="6" t="s">
        <v>215</v>
      </c>
      <c r="J14" s="6" t="s">
        <v>216</v>
      </c>
      <c r="K14" s="6"/>
      <c r="M14" s="4" t="s">
        <v>59</v>
      </c>
      <c r="N14" s="33">
        <f t="shared" ref="N14:P14" si="8">B14 * EXP((LN(H14/B14)/10) * 9)</f>
        <v>565211.2445</v>
      </c>
      <c r="O14" s="33">
        <f t="shared" si="8"/>
        <v>261730.1588</v>
      </c>
      <c r="P14" s="35">
        <f t="shared" si="8"/>
        <v>303477.6401</v>
      </c>
    </row>
    <row r="15">
      <c r="A15" s="4" t="s">
        <v>66</v>
      </c>
      <c r="B15" s="6" t="s">
        <v>217</v>
      </c>
      <c r="C15" s="6" t="s">
        <v>218</v>
      </c>
      <c r="D15" s="34" t="s">
        <v>219</v>
      </c>
      <c r="E15" s="6"/>
      <c r="G15" s="4" t="s">
        <v>66</v>
      </c>
      <c r="H15" s="6" t="s">
        <v>220</v>
      </c>
      <c r="I15" s="6" t="s">
        <v>221</v>
      </c>
      <c r="J15" s="6" t="s">
        <v>222</v>
      </c>
      <c r="K15" s="6"/>
      <c r="M15" s="4" t="s">
        <v>66</v>
      </c>
      <c r="N15" s="33">
        <f t="shared" ref="N15:P15" si="9">B15 * EXP((LN(H15/B15)/10) * 9)</f>
        <v>557166.2041</v>
      </c>
      <c r="O15" s="33">
        <f t="shared" si="9"/>
        <v>257862.6845</v>
      </c>
      <c r="P15" s="35">
        <f t="shared" si="9"/>
        <v>299303.5166</v>
      </c>
    </row>
    <row r="16">
      <c r="A16" s="4" t="s">
        <v>73</v>
      </c>
      <c r="B16" s="6" t="s">
        <v>223</v>
      </c>
      <c r="C16" s="6" t="s">
        <v>224</v>
      </c>
      <c r="D16" s="34" t="s">
        <v>225</v>
      </c>
      <c r="E16" s="6"/>
      <c r="G16" s="4" t="s">
        <v>73</v>
      </c>
      <c r="H16" s="6" t="s">
        <v>226</v>
      </c>
      <c r="I16" s="6" t="s">
        <v>227</v>
      </c>
      <c r="J16" s="6" t="s">
        <v>228</v>
      </c>
      <c r="K16" s="6"/>
      <c r="M16" s="4" t="s">
        <v>73</v>
      </c>
      <c r="N16" s="33">
        <f t="shared" ref="N16:P16" si="10">B16 * EXP((LN(H16/B16)/10) * 9)</f>
        <v>532350.9002</v>
      </c>
      <c r="O16" s="33">
        <f t="shared" si="10"/>
        <v>245358.5453</v>
      </c>
      <c r="P16" s="35">
        <f t="shared" si="10"/>
        <v>286983.1528</v>
      </c>
    </row>
    <row r="17">
      <c r="A17" s="4" t="s">
        <v>80</v>
      </c>
      <c r="B17" s="6" t="s">
        <v>229</v>
      </c>
      <c r="C17" s="6" t="s">
        <v>230</v>
      </c>
      <c r="D17" s="34" t="s">
        <v>231</v>
      </c>
      <c r="E17" s="6"/>
      <c r="G17" s="4" t="s">
        <v>80</v>
      </c>
      <c r="H17" s="6" t="s">
        <v>232</v>
      </c>
      <c r="I17" s="6" t="s">
        <v>233</v>
      </c>
      <c r="J17" s="6" t="s">
        <v>234</v>
      </c>
      <c r="K17" s="6"/>
      <c r="M17" s="4" t="s">
        <v>80</v>
      </c>
      <c r="N17" s="33">
        <f t="shared" ref="N17:P17" si="11">B17 * EXP((LN(H17/B17)/10) * 9)</f>
        <v>506200.8898</v>
      </c>
      <c r="O17" s="33">
        <f t="shared" si="11"/>
        <v>235982.4566</v>
      </c>
      <c r="P17" s="35">
        <f t="shared" si="11"/>
        <v>270210.9641</v>
      </c>
    </row>
    <row r="18">
      <c r="A18" s="4" t="s">
        <v>87</v>
      </c>
      <c r="B18" s="6" t="s">
        <v>235</v>
      </c>
      <c r="C18" s="6" t="s">
        <v>236</v>
      </c>
      <c r="D18" s="6" t="s">
        <v>237</v>
      </c>
      <c r="E18" s="6"/>
      <c r="G18" s="4" t="s">
        <v>87</v>
      </c>
      <c r="H18" s="6" t="s">
        <v>238</v>
      </c>
      <c r="I18" s="6" t="s">
        <v>239</v>
      </c>
      <c r="J18" s="6" t="s">
        <v>240</v>
      </c>
      <c r="K18" s="6"/>
      <c r="M18" s="4" t="s">
        <v>87</v>
      </c>
      <c r="N18" s="33">
        <f t="shared" ref="N18:P18" si="12">B18 * EXP((LN(H18/B18)/10) * 9)</f>
        <v>474554.0259</v>
      </c>
      <c r="O18" s="33">
        <f t="shared" si="12"/>
        <v>221479.5013</v>
      </c>
      <c r="P18" s="33">
        <f t="shared" si="12"/>
        <v>253070.7781</v>
      </c>
    </row>
    <row r="19">
      <c r="A19" s="4" t="s">
        <v>94</v>
      </c>
      <c r="B19" s="6" t="s">
        <v>241</v>
      </c>
      <c r="C19" s="6" t="s">
        <v>242</v>
      </c>
      <c r="D19" s="6" t="s">
        <v>243</v>
      </c>
      <c r="E19" s="6"/>
      <c r="G19" s="4" t="s">
        <v>94</v>
      </c>
      <c r="H19" s="6" t="s">
        <v>244</v>
      </c>
      <c r="I19" s="6" t="s">
        <v>245</v>
      </c>
      <c r="J19" s="6" t="s">
        <v>246</v>
      </c>
      <c r="K19" s="6"/>
      <c r="M19" s="4" t="s">
        <v>94</v>
      </c>
      <c r="N19" s="33">
        <f t="shared" ref="N19:P19" si="13">B19 * EXP((LN(H19/B19)/10) * 9)</f>
        <v>396022.8799</v>
      </c>
      <c r="O19" s="33">
        <f t="shared" si="13"/>
        <v>186831.4855</v>
      </c>
      <c r="P19" s="33">
        <f t="shared" si="13"/>
        <v>209187.6231</v>
      </c>
    </row>
    <row r="20">
      <c r="A20" s="4" t="s">
        <v>101</v>
      </c>
      <c r="B20" s="6" t="s">
        <v>247</v>
      </c>
      <c r="C20" s="6" t="s">
        <v>248</v>
      </c>
      <c r="D20" s="6" t="s">
        <v>249</v>
      </c>
      <c r="E20" s="6"/>
      <c r="G20" s="4" t="s">
        <v>101</v>
      </c>
      <c r="H20" s="6" t="s">
        <v>250</v>
      </c>
      <c r="I20" s="6" t="s">
        <v>251</v>
      </c>
      <c r="J20" s="6" t="s">
        <v>252</v>
      </c>
      <c r="K20" s="6"/>
      <c r="M20" s="4" t="s">
        <v>101</v>
      </c>
      <c r="N20" s="33">
        <f t="shared" ref="N20:P20" si="14">B20 * EXP((LN(H20/B20)/10) * 9)</f>
        <v>335134.5848</v>
      </c>
      <c r="O20" s="33">
        <f t="shared" si="14"/>
        <v>157280.6203</v>
      </c>
      <c r="P20" s="33">
        <f t="shared" si="14"/>
        <v>177850.8205</v>
      </c>
    </row>
    <row r="21">
      <c r="A21" s="4" t="s">
        <v>108</v>
      </c>
      <c r="B21" s="6" t="s">
        <v>253</v>
      </c>
      <c r="C21" s="6" t="s">
        <v>254</v>
      </c>
      <c r="D21" s="6" t="s">
        <v>255</v>
      </c>
      <c r="E21" s="6"/>
      <c r="G21" s="4" t="s">
        <v>108</v>
      </c>
      <c r="H21" s="6" t="s">
        <v>256</v>
      </c>
      <c r="I21" s="6" t="s">
        <v>257</v>
      </c>
      <c r="J21" s="6" t="s">
        <v>258</v>
      </c>
      <c r="K21" s="6"/>
      <c r="M21" s="4" t="s">
        <v>108</v>
      </c>
      <c r="N21" s="33">
        <f t="shared" ref="N21:P21" si="15">B21 * EXP((LN(H21/B21)/10) * 9)</f>
        <v>267801.5734</v>
      </c>
      <c r="O21" s="33">
        <f t="shared" si="15"/>
        <v>125566.6978</v>
      </c>
      <c r="P21" s="33">
        <f t="shared" si="15"/>
        <v>142232.4695</v>
      </c>
    </row>
    <row r="22">
      <c r="A22" s="4" t="s">
        <v>115</v>
      </c>
      <c r="B22" s="6" t="s">
        <v>259</v>
      </c>
      <c r="C22" s="6" t="s">
        <v>260</v>
      </c>
      <c r="D22" s="6" t="s">
        <v>261</v>
      </c>
      <c r="E22" s="6"/>
      <c r="G22" s="4" t="s">
        <v>115</v>
      </c>
      <c r="H22" s="6" t="s">
        <v>262</v>
      </c>
      <c r="I22" s="6" t="s">
        <v>263</v>
      </c>
      <c r="J22" s="6" t="s">
        <v>264</v>
      </c>
      <c r="K22" s="6"/>
      <c r="M22" s="4" t="s">
        <v>115</v>
      </c>
      <c r="N22" s="33">
        <f t="shared" ref="N22:P22" si="16">B22 * EXP((LN(H22/B22)/10) * 9)</f>
        <v>197777.4146</v>
      </c>
      <c r="O22" s="33">
        <f t="shared" si="16"/>
        <v>92853.62342</v>
      </c>
      <c r="P22" s="33">
        <f t="shared" si="16"/>
        <v>104923.519</v>
      </c>
    </row>
    <row r="23">
      <c r="A23" s="4" t="s">
        <v>122</v>
      </c>
      <c r="B23" s="6" t="s">
        <v>265</v>
      </c>
      <c r="C23" s="6" t="s">
        <v>266</v>
      </c>
      <c r="D23" s="6" t="s">
        <v>267</v>
      </c>
      <c r="E23" s="6"/>
      <c r="G23" s="4" t="s">
        <v>122</v>
      </c>
      <c r="H23" s="6" t="s">
        <v>268</v>
      </c>
      <c r="I23" s="6" t="s">
        <v>269</v>
      </c>
      <c r="J23" s="6" t="s">
        <v>270</v>
      </c>
      <c r="K23" s="6"/>
      <c r="M23" s="4" t="s">
        <v>122</v>
      </c>
      <c r="N23" s="33">
        <f t="shared" ref="N23:P23" si="17">B23 * EXP((LN(H23/B23)/10) * 9)</f>
        <v>140366.8303</v>
      </c>
      <c r="O23" s="33">
        <f t="shared" si="17"/>
        <v>66321.26645</v>
      </c>
      <c r="P23" s="33">
        <f t="shared" si="17"/>
        <v>74044.25507</v>
      </c>
    </row>
    <row r="24">
      <c r="A24" s="4" t="s">
        <v>129</v>
      </c>
      <c r="B24" s="6" t="s">
        <v>271</v>
      </c>
      <c r="C24" s="6" t="s">
        <v>272</v>
      </c>
      <c r="D24" s="6" t="s">
        <v>273</v>
      </c>
      <c r="E24" s="6"/>
      <c r="G24" s="4" t="s">
        <v>129</v>
      </c>
      <c r="H24" s="6" t="s">
        <v>274</v>
      </c>
      <c r="I24" s="6" t="s">
        <v>275</v>
      </c>
      <c r="J24" s="6" t="s">
        <v>276</v>
      </c>
      <c r="K24" s="6"/>
      <c r="M24" s="4" t="s">
        <v>129</v>
      </c>
      <c r="N24" s="33">
        <f t="shared" ref="N24:P24" si="18">B24 * EXP((LN(H24/B24)/10) * 9)</f>
        <v>91323.12736</v>
      </c>
      <c r="O24" s="33">
        <f t="shared" si="18"/>
        <v>41308.14622</v>
      </c>
      <c r="P24" s="33">
        <f t="shared" si="18"/>
        <v>50014.97509</v>
      </c>
    </row>
    <row r="25">
      <c r="A25" s="4" t="s">
        <v>136</v>
      </c>
      <c r="B25" s="6" t="s">
        <v>277</v>
      </c>
      <c r="C25" s="6" t="s">
        <v>278</v>
      </c>
      <c r="D25" s="6" t="s">
        <v>279</v>
      </c>
      <c r="E25" s="6"/>
      <c r="G25" s="4" t="s">
        <v>140</v>
      </c>
      <c r="H25" s="6" t="s">
        <v>280</v>
      </c>
      <c r="I25" s="6" t="s">
        <v>281</v>
      </c>
      <c r="J25" s="6" t="s">
        <v>282</v>
      </c>
      <c r="K25" s="6"/>
      <c r="M25" s="4" t="s">
        <v>140</v>
      </c>
      <c r="N25" s="33">
        <f t="shared" ref="N25:P25" si="19">B25 * EXP((LN(H25/B25)/10) * 9)</f>
        <v>83115.09973</v>
      </c>
      <c r="O25" s="33">
        <f t="shared" si="19"/>
        <v>35434.41445</v>
      </c>
      <c r="P25" s="33">
        <f t="shared" si="19"/>
        <v>47679.39596</v>
      </c>
    </row>
    <row r="26">
      <c r="A26" s="4" t="s">
        <v>144</v>
      </c>
      <c r="B26" s="6" t="s">
        <v>283</v>
      </c>
      <c r="C26" s="6" t="s">
        <v>284</v>
      </c>
      <c r="D26" s="6" t="s">
        <v>285</v>
      </c>
      <c r="E26" s="6"/>
      <c r="G26" s="4" t="s">
        <v>144</v>
      </c>
      <c r="H26" s="6" t="s">
        <v>286</v>
      </c>
      <c r="I26" s="6" t="s">
        <v>287</v>
      </c>
      <c r="J26" s="6" t="s">
        <v>288</v>
      </c>
      <c r="K26" s="6"/>
      <c r="M26" s="4" t="s">
        <v>144</v>
      </c>
      <c r="N26" s="33">
        <f t="shared" ref="N26:P26" si="20">B26 * EXP((LN(H26/B26)/10) * 9)</f>
        <v>4831.135583</v>
      </c>
      <c r="O26" s="33">
        <f t="shared" si="20"/>
        <v>2380.040449</v>
      </c>
      <c r="P26" s="33">
        <f t="shared" si="20"/>
        <v>2451.050046</v>
      </c>
    </row>
    <row r="27">
      <c r="A27" s="4"/>
      <c r="B27" s="6"/>
      <c r="C27" s="6"/>
      <c r="D27" s="6"/>
      <c r="E27" s="6"/>
      <c r="G27" s="4"/>
      <c r="H27" s="6"/>
      <c r="I27" s="6"/>
      <c r="J27" s="6"/>
      <c r="K27" s="6"/>
    </row>
    <row r="28">
      <c r="A28" s="4"/>
      <c r="B28" s="6"/>
      <c r="C28" s="6"/>
      <c r="D28" s="6"/>
      <c r="E28" s="6"/>
      <c r="G28" s="4"/>
      <c r="H28" s="6"/>
      <c r="I28" s="6"/>
      <c r="J28" s="6"/>
      <c r="K28" s="6"/>
    </row>
    <row r="29">
      <c r="A29" s="4"/>
      <c r="B29" s="6"/>
      <c r="C29" s="6"/>
      <c r="D29" s="6"/>
      <c r="E29" s="6"/>
      <c r="G29" s="4"/>
      <c r="H29" s="6"/>
      <c r="I29" s="6"/>
      <c r="J29" s="6"/>
      <c r="K29" s="6"/>
    </row>
    <row r="30">
      <c r="A30" s="4" t="s">
        <v>151</v>
      </c>
      <c r="B30" s="6"/>
      <c r="C30" s="6"/>
      <c r="D30" s="6"/>
      <c r="E30" s="6"/>
      <c r="G30" s="4" t="s">
        <v>152</v>
      </c>
      <c r="H30" s="6"/>
      <c r="I30" s="6"/>
      <c r="J30" s="6"/>
      <c r="K30" s="6"/>
    </row>
    <row r="34">
      <c r="C34" s="7" t="s">
        <v>153</v>
      </c>
      <c r="M34" s="14" t="s">
        <v>154</v>
      </c>
    </row>
    <row r="35">
      <c r="A35" s="15"/>
      <c r="B35" s="16"/>
      <c r="C35" s="16"/>
      <c r="D35" s="16"/>
      <c r="M35" s="15" t="s">
        <v>155</v>
      </c>
      <c r="N35" s="16"/>
      <c r="O35" s="16"/>
      <c r="P35" s="16"/>
      <c r="Q35" s="17"/>
      <c r="R35" s="16"/>
      <c r="S35" s="16"/>
      <c r="T35" s="16"/>
    </row>
    <row r="36">
      <c r="A36" s="18" t="s">
        <v>156</v>
      </c>
      <c r="B36" s="18" t="s">
        <v>157</v>
      </c>
      <c r="C36" s="18" t="s">
        <v>158</v>
      </c>
      <c r="D36" s="18" t="s">
        <v>159</v>
      </c>
      <c r="F36" s="18" t="s">
        <v>157</v>
      </c>
      <c r="G36" s="19" t="s">
        <v>160</v>
      </c>
      <c r="H36" s="20" t="s">
        <v>161</v>
      </c>
      <c r="M36" s="18" t="s">
        <v>156</v>
      </c>
      <c r="N36" s="18" t="s">
        <v>157</v>
      </c>
      <c r="O36" s="18" t="s">
        <v>158</v>
      </c>
      <c r="P36" s="18" t="s">
        <v>159</v>
      </c>
      <c r="Q36" s="17"/>
      <c r="R36" s="18" t="s">
        <v>157</v>
      </c>
      <c r="S36" s="19" t="s">
        <v>160</v>
      </c>
      <c r="T36" s="20" t="s">
        <v>161</v>
      </c>
    </row>
    <row r="37">
      <c r="A37" s="22">
        <v>40186.0</v>
      </c>
      <c r="B37" s="23">
        <f>2010 + 7/12 + 1/365</f>
        <v>2010.586073</v>
      </c>
      <c r="C37" s="24" t="str">
        <f>B7</f>
        <v>7,643,194</v>
      </c>
      <c r="D37" s="25">
        <f>LN(C38/C37)/B39</f>
        <v>0.005293448196</v>
      </c>
      <c r="F37" s="26">
        <f>2019+6/12+0/365</f>
        <v>2019.5</v>
      </c>
      <c r="G37" s="26">
        <f>F37-B37</f>
        <v>8.913926941</v>
      </c>
      <c r="H37" s="27">
        <f>C37*EXP(D38*G38)</f>
        <v>7643194</v>
      </c>
      <c r="M37" s="22">
        <v>40186.0</v>
      </c>
      <c r="N37" s="23">
        <f>2010 + 7/12 + 1/365</f>
        <v>2010.586073</v>
      </c>
      <c r="O37" s="24" t="str">
        <f>D11</f>
        <v>378,037</v>
      </c>
      <c r="P37" s="25">
        <f>LN(O38/O37)/N39</f>
        <v>-0.0112708423</v>
      </c>
      <c r="Q37" s="17"/>
      <c r="R37" s="26">
        <f>2019+6/12+0/365</f>
        <v>2019.5</v>
      </c>
      <c r="S37" s="26">
        <f>R37-N37</f>
        <v>8.913926941</v>
      </c>
      <c r="T37" s="26">
        <f>O37*EXP(P37*S37)</f>
        <v>341902.1584</v>
      </c>
    </row>
    <row r="38">
      <c r="A38" s="28">
        <v>43708.0</v>
      </c>
      <c r="B38" s="29">
        <f>2019 + 7/12 + 31/365</f>
        <v>2019.668265</v>
      </c>
      <c r="C38" s="36">
        <f>N7</f>
        <v>8019625.222</v>
      </c>
      <c r="D38" s="31"/>
      <c r="F38" s="31"/>
      <c r="G38" s="31"/>
      <c r="H38" s="31"/>
      <c r="M38" s="28">
        <v>43708.0</v>
      </c>
      <c r="N38" s="29">
        <f>2019 + 7/12 + 31/365</f>
        <v>2019.668265</v>
      </c>
      <c r="O38" s="36">
        <f>P11</f>
        <v>341254.3601</v>
      </c>
      <c r="P38" s="31"/>
      <c r="Q38" s="17"/>
      <c r="R38" s="31"/>
      <c r="S38" s="31"/>
      <c r="T38" s="31"/>
    </row>
    <row r="39">
      <c r="A39" s="32" t="s">
        <v>160</v>
      </c>
      <c r="B39" s="29">
        <f>B38-B37</f>
        <v>9.082191781</v>
      </c>
      <c r="C39" s="21"/>
      <c r="D39" s="21"/>
      <c r="M39" s="32" t="s">
        <v>160</v>
      </c>
      <c r="N39" s="29">
        <f>N38-N37</f>
        <v>9.082191781</v>
      </c>
      <c r="O39" s="21"/>
      <c r="P39" s="21"/>
      <c r="Q39" s="17"/>
      <c r="R39" s="17"/>
      <c r="S39" s="17"/>
      <c r="T39" s="17"/>
    </row>
    <row r="40">
      <c r="M40" s="21"/>
      <c r="N40" s="21"/>
      <c r="O40" s="21"/>
      <c r="P40" s="17"/>
      <c r="Q40" s="17"/>
      <c r="R40" s="17"/>
      <c r="S40" s="17"/>
      <c r="T40" s="17"/>
    </row>
    <row r="41">
      <c r="M41" s="7" t="s">
        <v>162</v>
      </c>
    </row>
    <row r="42">
      <c r="M42" s="18" t="s">
        <v>156</v>
      </c>
      <c r="N42" s="18" t="s">
        <v>157</v>
      </c>
      <c r="O42" s="18" t="s">
        <v>158</v>
      </c>
      <c r="P42" s="18" t="s">
        <v>159</v>
      </c>
      <c r="Q42" s="17"/>
      <c r="R42" s="18" t="s">
        <v>157</v>
      </c>
      <c r="S42" s="19" t="s">
        <v>160</v>
      </c>
      <c r="T42" s="20" t="s">
        <v>161</v>
      </c>
    </row>
    <row r="43">
      <c r="M43" s="22">
        <v>40186.0</v>
      </c>
      <c r="N43" s="23">
        <f>2010 + 7/12 + 1/365</f>
        <v>2010.586073</v>
      </c>
      <c r="O43" s="24" t="str">
        <f>D12</f>
        <v>334,531</v>
      </c>
      <c r="P43" s="25">
        <f>LN(O44/O43)/N45</f>
        <v>-0.008176938565</v>
      </c>
      <c r="Q43" s="17"/>
      <c r="R43" s="26">
        <f>2019+6/12+0/365</f>
        <v>2019.5</v>
      </c>
      <c r="S43" s="26">
        <f>R43-N43</f>
        <v>8.913926941</v>
      </c>
      <c r="T43" s="26">
        <f>O43*EXP(P43*S43)</f>
        <v>311014.9302</v>
      </c>
    </row>
    <row r="44">
      <c r="M44" s="28">
        <v>43708.0</v>
      </c>
      <c r="N44" s="29">
        <f>2019 + 7/12 + 31/365</f>
        <v>2019.668265</v>
      </c>
      <c r="O44" s="36">
        <f>P12</f>
        <v>310587.3017</v>
      </c>
      <c r="P44" s="31"/>
      <c r="Q44" s="17"/>
      <c r="R44" s="31"/>
      <c r="S44" s="31"/>
      <c r="T44" s="31"/>
    </row>
    <row r="45">
      <c r="M45" s="32" t="s">
        <v>160</v>
      </c>
      <c r="N45" s="29">
        <f>N44-N43</f>
        <v>9.082191781</v>
      </c>
      <c r="O45" s="21"/>
      <c r="P45" s="21"/>
      <c r="Q45" s="17"/>
      <c r="R45" s="17"/>
      <c r="S45" s="17"/>
      <c r="T45" s="17"/>
    </row>
    <row r="47">
      <c r="M47" s="7" t="s">
        <v>163</v>
      </c>
    </row>
    <row r="48">
      <c r="M48" s="18" t="s">
        <v>156</v>
      </c>
      <c r="N48" s="18" t="s">
        <v>157</v>
      </c>
      <c r="O48" s="18" t="s">
        <v>158</v>
      </c>
      <c r="P48" s="18" t="s">
        <v>159</v>
      </c>
      <c r="Q48" s="17"/>
      <c r="R48" s="18" t="s">
        <v>157</v>
      </c>
      <c r="S48" s="19" t="s">
        <v>160</v>
      </c>
      <c r="T48" s="20" t="s">
        <v>161</v>
      </c>
    </row>
    <row r="49">
      <c r="M49" s="22">
        <v>40186.0</v>
      </c>
      <c r="N49" s="23">
        <f>2010 + 7/12 + 1/365</f>
        <v>2010.586073</v>
      </c>
      <c r="O49" s="24" t="str">
        <f>D13</f>
        <v>298,609</v>
      </c>
      <c r="P49" s="25">
        <f>LN(O50/O49)/N51</f>
        <v>0.00298380036</v>
      </c>
      <c r="Q49" s="17"/>
      <c r="R49" s="26">
        <f>2019+6/12+0/365</f>
        <v>2019.5</v>
      </c>
      <c r="S49" s="26">
        <f>R49-N49</f>
        <v>8.913926941</v>
      </c>
      <c r="T49" s="26">
        <f>O49*EXP(P49*S49)</f>
        <v>306657.7803</v>
      </c>
    </row>
    <row r="50">
      <c r="M50" s="28">
        <v>43708.0</v>
      </c>
      <c r="N50" s="29">
        <f>2019 + 7/12 + 31/365</f>
        <v>2019.668265</v>
      </c>
      <c r="O50" s="36">
        <f>P13</f>
        <v>306811.7822</v>
      </c>
      <c r="P50" s="31"/>
      <c r="Q50" s="17"/>
      <c r="R50" s="31"/>
      <c r="S50" s="31"/>
      <c r="T50" s="31"/>
    </row>
    <row r="51">
      <c r="M51" s="32" t="s">
        <v>160</v>
      </c>
      <c r="N51" s="29">
        <f>N50-N49</f>
        <v>9.082191781</v>
      </c>
      <c r="O51" s="21"/>
      <c r="P51" s="21"/>
      <c r="Q51" s="17"/>
      <c r="R51" s="17"/>
      <c r="S51" s="17"/>
      <c r="T51" s="17"/>
    </row>
    <row r="53">
      <c r="M53" s="7" t="s">
        <v>164</v>
      </c>
    </row>
    <row r="54">
      <c r="M54" s="18" t="s">
        <v>156</v>
      </c>
      <c r="N54" s="18" t="s">
        <v>157</v>
      </c>
      <c r="O54" s="18" t="s">
        <v>158</v>
      </c>
      <c r="P54" s="18" t="s">
        <v>159</v>
      </c>
      <c r="Q54" s="17"/>
      <c r="R54" s="18" t="s">
        <v>157</v>
      </c>
      <c r="S54" s="19" t="s">
        <v>160</v>
      </c>
      <c r="T54" s="20" t="s">
        <v>161</v>
      </c>
    </row>
    <row r="55">
      <c r="M55" s="22">
        <v>40186.0</v>
      </c>
      <c r="N55" s="23">
        <f>2010 + 7/12 + 1/365</f>
        <v>2010.586073</v>
      </c>
      <c r="O55" s="24" t="str">
        <f>D14</f>
        <v>292,591</v>
      </c>
      <c r="P55" s="25">
        <f>LN(O56/O55)/N57</f>
        <v>0.004022399639</v>
      </c>
      <c r="Q55" s="17"/>
      <c r="R55" s="26">
        <f>2019+6/12+0/365</f>
        <v>2019.5</v>
      </c>
      <c r="S55" s="26">
        <f>R55-N55</f>
        <v>8.913926941</v>
      </c>
      <c r="T55" s="26">
        <f>O55*EXP(P55*S55)</f>
        <v>303272.3073</v>
      </c>
    </row>
    <row r="56">
      <c r="M56" s="28">
        <v>43708.0</v>
      </c>
      <c r="N56" s="29">
        <f>2019 + 7/12 + 31/365</f>
        <v>2019.668265</v>
      </c>
      <c r="O56" s="36">
        <f>P14</f>
        <v>303477.6401</v>
      </c>
      <c r="P56" s="31"/>
      <c r="Q56" s="17"/>
      <c r="R56" s="31"/>
      <c r="S56" s="31"/>
      <c r="T56" s="31"/>
    </row>
    <row r="57">
      <c r="M57" s="32" t="s">
        <v>160</v>
      </c>
      <c r="N57" s="29">
        <f>N56-N55</f>
        <v>9.082191781</v>
      </c>
      <c r="O57" s="21"/>
      <c r="P57" s="21"/>
      <c r="Q57" s="17"/>
      <c r="R57" s="17"/>
      <c r="S57" s="17"/>
      <c r="T57" s="17"/>
    </row>
    <row r="59">
      <c r="M59" s="7" t="s">
        <v>165</v>
      </c>
    </row>
    <row r="60">
      <c r="M60" s="18" t="s">
        <v>156</v>
      </c>
      <c r="N60" s="18" t="s">
        <v>157</v>
      </c>
      <c r="O60" s="18" t="s">
        <v>158</v>
      </c>
      <c r="P60" s="18" t="s">
        <v>159</v>
      </c>
      <c r="Q60" s="17"/>
      <c r="R60" s="18" t="s">
        <v>157</v>
      </c>
      <c r="S60" s="19" t="s">
        <v>160</v>
      </c>
      <c r="T60" s="20" t="s">
        <v>161</v>
      </c>
    </row>
    <row r="61">
      <c r="M61" s="22">
        <v>40186.0</v>
      </c>
      <c r="N61" s="23">
        <f>2010 + 7/12 + 1/365</f>
        <v>2010.586073</v>
      </c>
      <c r="O61" s="24" t="str">
        <f>D15</f>
        <v>291,477</v>
      </c>
      <c r="P61" s="25">
        <f>LN(O62/O61)/N63</f>
        <v>0.002917474605</v>
      </c>
      <c r="Q61" s="17"/>
      <c r="R61" s="26">
        <f>2019+6/12+0/365</f>
        <v>2019.5</v>
      </c>
      <c r="S61" s="26">
        <f>R61-N61</f>
        <v>8.913926941</v>
      </c>
      <c r="T61" s="26">
        <f>O61*EXP(P61*S61)</f>
        <v>299156.6221</v>
      </c>
    </row>
    <row r="62">
      <c r="M62" s="28">
        <v>43708.0</v>
      </c>
      <c r="N62" s="29">
        <f>2019 + 7/12 + 31/365</f>
        <v>2019.668265</v>
      </c>
      <c r="O62" s="36">
        <f>P15</f>
        <v>299303.5166</v>
      </c>
      <c r="P62" s="31"/>
      <c r="Q62" s="17"/>
      <c r="R62" s="31"/>
      <c r="S62" s="31"/>
      <c r="T62" s="31"/>
    </row>
    <row r="63">
      <c r="M63" s="32" t="s">
        <v>160</v>
      </c>
      <c r="N63" s="29">
        <f>N62-N61</f>
        <v>9.082191781</v>
      </c>
      <c r="O63" s="21"/>
      <c r="P63" s="21"/>
      <c r="Q63" s="17"/>
      <c r="R63" s="17"/>
      <c r="S63" s="17"/>
      <c r="T63" s="17"/>
    </row>
    <row r="65">
      <c r="M65" s="7" t="s">
        <v>166</v>
      </c>
    </row>
    <row r="66">
      <c r="M66" s="18" t="s">
        <v>156</v>
      </c>
      <c r="N66" s="18" t="s">
        <v>157</v>
      </c>
      <c r="O66" s="18" t="s">
        <v>158</v>
      </c>
      <c r="P66" s="18" t="s">
        <v>159</v>
      </c>
      <c r="Q66" s="17"/>
      <c r="R66" s="18" t="s">
        <v>157</v>
      </c>
      <c r="S66" s="19" t="s">
        <v>160</v>
      </c>
      <c r="T66" s="20" t="s">
        <v>161</v>
      </c>
    </row>
    <row r="67">
      <c r="M67" s="22">
        <v>40186.0</v>
      </c>
      <c r="N67" s="23">
        <f>2010 + 7/12 + 1/365</f>
        <v>2010.586073</v>
      </c>
      <c r="O67" s="24" t="str">
        <f>D16</f>
        <v>258,153</v>
      </c>
      <c r="P67" s="25">
        <f>LN(O68/O67)/N69</f>
        <v>0.0116569968</v>
      </c>
      <c r="Q67" s="17"/>
      <c r="R67" s="26">
        <f>2019+6/12+0/365</f>
        <v>2019.5</v>
      </c>
      <c r="S67" s="26">
        <f>R67-N67</f>
        <v>8.913926941</v>
      </c>
      <c r="T67" s="26">
        <f>O67*EXP(P67*S67)</f>
        <v>286420.7977</v>
      </c>
    </row>
    <row r="68">
      <c r="M68" s="28">
        <v>43708.0</v>
      </c>
      <c r="N68" s="29">
        <f>2019 + 7/12 + 31/365</f>
        <v>2019.668265</v>
      </c>
      <c r="O68" s="36">
        <f>P16</f>
        <v>286983.1528</v>
      </c>
      <c r="P68" s="31"/>
      <c r="Q68" s="17"/>
      <c r="R68" s="31"/>
      <c r="S68" s="31"/>
      <c r="T68" s="31"/>
    </row>
    <row r="69">
      <c r="M69" s="32" t="s">
        <v>160</v>
      </c>
      <c r="N69" s="29">
        <f>N68-N67</f>
        <v>9.082191781</v>
      </c>
      <c r="O69" s="21"/>
      <c r="P69" s="21"/>
      <c r="Q69" s="17"/>
      <c r="R69" s="17"/>
      <c r="S69" s="17"/>
      <c r="T69" s="17"/>
    </row>
    <row r="71">
      <c r="M71" s="7" t="s">
        <v>167</v>
      </c>
    </row>
    <row r="72">
      <c r="M72" s="18" t="s">
        <v>156</v>
      </c>
      <c r="N72" s="18" t="s">
        <v>157</v>
      </c>
      <c r="O72" s="18" t="s">
        <v>158</v>
      </c>
      <c r="P72" s="18" t="s">
        <v>159</v>
      </c>
      <c r="Q72" s="17"/>
      <c r="R72" s="18" t="s">
        <v>157</v>
      </c>
      <c r="S72" s="19" t="s">
        <v>160</v>
      </c>
      <c r="T72" s="20" t="s">
        <v>161</v>
      </c>
    </row>
    <row r="73">
      <c r="M73" s="22">
        <v>40186.0</v>
      </c>
      <c r="N73" s="23">
        <f>2010 + 7/12 + 1/365</f>
        <v>2010.586073</v>
      </c>
      <c r="O73" s="24" t="str">
        <f>D17</f>
        <v>223,330</v>
      </c>
      <c r="P73" s="25">
        <f>LN(O74/O73)/N75</f>
        <v>0.02098089415</v>
      </c>
      <c r="Q73" s="17"/>
      <c r="R73" s="26">
        <f>2019+6/12+0/365</f>
        <v>2019.5</v>
      </c>
      <c r="S73" s="26">
        <f>R73-N73</f>
        <v>8.913926941</v>
      </c>
      <c r="T73" s="26">
        <f>O73*EXP(P73*S73)</f>
        <v>269258.7076</v>
      </c>
    </row>
    <row r="74">
      <c r="M74" s="28">
        <v>43708.0</v>
      </c>
      <c r="N74" s="29">
        <f>2019 + 7/12 + 31/365</f>
        <v>2019.668265</v>
      </c>
      <c r="O74" s="36">
        <f>P17</f>
        <v>270210.9641</v>
      </c>
      <c r="P74" s="31"/>
      <c r="Q74" s="17"/>
      <c r="R74" s="31"/>
      <c r="S74" s="31"/>
      <c r="T74" s="31"/>
    </row>
    <row r="75">
      <c r="M75" s="32" t="s">
        <v>160</v>
      </c>
      <c r="N75" s="29">
        <f>N74-N73</f>
        <v>9.082191781</v>
      </c>
      <c r="O75" s="21"/>
      <c r="P75" s="21"/>
      <c r="Q75" s="17"/>
      <c r="R75" s="17"/>
      <c r="S75" s="17"/>
      <c r="T75" s="17"/>
    </row>
  </sheetData>
  <mergeCells count="34">
    <mergeCell ref="C34:D34"/>
    <mergeCell ref="M34:T34"/>
    <mergeCell ref="D37:D38"/>
    <mergeCell ref="F37:F38"/>
    <mergeCell ref="G37:G38"/>
    <mergeCell ref="H37:H38"/>
    <mergeCell ref="P37:P38"/>
    <mergeCell ref="T37:T38"/>
    <mergeCell ref="R37:R38"/>
    <mergeCell ref="S37:S38"/>
    <mergeCell ref="P43:P44"/>
    <mergeCell ref="R43:R44"/>
    <mergeCell ref="S43:S44"/>
    <mergeCell ref="T43:T44"/>
    <mergeCell ref="P49:P50"/>
    <mergeCell ref="T49:T50"/>
    <mergeCell ref="R49:R50"/>
    <mergeCell ref="S49:S50"/>
    <mergeCell ref="P55:P56"/>
    <mergeCell ref="R55:R56"/>
    <mergeCell ref="S55:S56"/>
    <mergeCell ref="T55:T56"/>
    <mergeCell ref="P61:P62"/>
    <mergeCell ref="T61:T62"/>
    <mergeCell ref="R73:R74"/>
    <mergeCell ref="S73:S74"/>
    <mergeCell ref="R61:R62"/>
    <mergeCell ref="S61:S62"/>
    <mergeCell ref="P67:P68"/>
    <mergeCell ref="R67:R68"/>
    <mergeCell ref="S67:S68"/>
    <mergeCell ref="T67:T68"/>
    <mergeCell ref="P73:P74"/>
    <mergeCell ref="T73:T7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  <col customWidth="1" min="3" max="3" width="23.71"/>
    <col customWidth="1" min="4" max="4" width="24.0"/>
  </cols>
  <sheetData>
    <row r="1">
      <c r="B1" s="7" t="s">
        <v>289</v>
      </c>
      <c r="G1" s="7" t="s">
        <v>290</v>
      </c>
    </row>
    <row r="2">
      <c r="G2" s="7" t="s">
        <v>291</v>
      </c>
    </row>
    <row r="3">
      <c r="G3" s="7">
        <v>2019.0</v>
      </c>
    </row>
    <row r="4">
      <c r="B4" s="37" t="s">
        <v>292</v>
      </c>
      <c r="C4" s="38" t="s">
        <v>293</v>
      </c>
      <c r="D4" s="39" t="s">
        <v>294</v>
      </c>
    </row>
    <row r="5">
      <c r="B5" s="4" t="s">
        <v>6</v>
      </c>
      <c r="C5" s="33">
        <f t="shared" ref="C5:D5" si="1">SUM(C6:C12)</f>
        <v>1942234</v>
      </c>
      <c r="D5" s="33">
        <f t="shared" si="1"/>
        <v>33483095.82</v>
      </c>
      <c r="G5" s="7" t="s">
        <v>9</v>
      </c>
      <c r="H5" s="7" t="s">
        <v>10</v>
      </c>
      <c r="I5" s="7" t="s">
        <v>6</v>
      </c>
    </row>
    <row r="6">
      <c r="B6" s="4" t="s">
        <v>38</v>
      </c>
      <c r="C6" s="1">
        <v>315681.15667411115</v>
      </c>
      <c r="D6" s="33">
        <f>Mexico!T37</f>
        <v>5363130.507</v>
      </c>
      <c r="F6" s="33"/>
      <c r="G6" s="33">
        <v>987870.0</v>
      </c>
      <c r="H6" s="33">
        <v>954364.0</v>
      </c>
      <c r="I6" s="33">
        <f>SUM(G6:H6)</f>
        <v>1942234</v>
      </c>
    </row>
    <row r="7">
      <c r="B7" s="4" t="s">
        <v>45</v>
      </c>
      <c r="C7" s="1">
        <v>545329.5749363245</v>
      </c>
      <c r="D7" s="33">
        <f>Mexico!T43</f>
        <v>5235228.551</v>
      </c>
    </row>
    <row r="8">
      <c r="B8" s="4" t="s">
        <v>52</v>
      </c>
      <c r="C8" s="1">
        <v>511967.39287566446</v>
      </c>
      <c r="D8" s="33">
        <f>Mexico!T49</f>
        <v>5064244.93</v>
      </c>
      <c r="G8" s="7" t="s">
        <v>295</v>
      </c>
      <c r="H8" s="1">
        <f>H6/I6</f>
        <v>0.4913743658</v>
      </c>
    </row>
    <row r="9">
      <c r="B9" s="4" t="s">
        <v>59</v>
      </c>
      <c r="C9" s="1">
        <v>347637.04412010725</v>
      </c>
      <c r="D9" s="33">
        <f>Mexico!T55</f>
        <v>4838544.74</v>
      </c>
    </row>
    <row r="10">
      <c r="B10" s="4" t="s">
        <v>66</v>
      </c>
      <c r="C10" s="1">
        <v>174294.22532862407</v>
      </c>
      <c r="D10" s="33">
        <f>Mexico!T61</f>
        <v>4645184.019</v>
      </c>
    </row>
    <row r="11">
      <c r="B11" s="4" t="s">
        <v>73</v>
      </c>
      <c r="C11" s="1">
        <v>43848.97684784381</v>
      </c>
      <c r="D11" s="33">
        <f>Mexico!T67</f>
        <v>4341995.402</v>
      </c>
    </row>
    <row r="12">
      <c r="B12" s="4" t="s">
        <v>80</v>
      </c>
      <c r="C12" s="1">
        <v>3475.629217324751</v>
      </c>
      <c r="D12" s="33">
        <f>Mexico!T73</f>
        <v>3994767.675</v>
      </c>
    </row>
    <row r="14">
      <c r="B14" s="40" t="s">
        <v>296</v>
      </c>
      <c r="C14" s="40" t="s">
        <v>297</v>
      </c>
      <c r="D14" s="40" t="s">
        <v>298</v>
      </c>
      <c r="E14" s="40" t="s">
        <v>299</v>
      </c>
      <c r="F14" s="40" t="s">
        <v>300</v>
      </c>
      <c r="G14" s="40" t="s">
        <v>301</v>
      </c>
      <c r="H14" s="40" t="s">
        <v>302</v>
      </c>
      <c r="I14" s="40" t="s">
        <v>303</v>
      </c>
      <c r="J14" s="40" t="s">
        <v>304</v>
      </c>
      <c r="K14" s="40" t="s">
        <v>305</v>
      </c>
      <c r="L14" s="40" t="s">
        <v>306</v>
      </c>
      <c r="M14" s="40" t="s">
        <v>307</v>
      </c>
      <c r="O14" s="40" t="s">
        <v>296</v>
      </c>
      <c r="P14" s="40" t="s">
        <v>297</v>
      </c>
      <c r="Q14" s="40" t="s">
        <v>298</v>
      </c>
      <c r="R14" s="40" t="s">
        <v>299</v>
      </c>
      <c r="S14" s="40" t="s">
        <v>300</v>
      </c>
      <c r="T14" s="40" t="s">
        <v>301</v>
      </c>
      <c r="U14" s="40" t="s">
        <v>302</v>
      </c>
      <c r="V14" s="40" t="s">
        <v>303</v>
      </c>
      <c r="W14" s="40" t="s">
        <v>304</v>
      </c>
      <c r="X14" s="40" t="s">
        <v>305</v>
      </c>
      <c r="Y14" s="40" t="s">
        <v>306</v>
      </c>
      <c r="Z14" s="40" t="s">
        <v>307</v>
      </c>
    </row>
    <row r="15">
      <c r="B15" s="41" t="s">
        <v>308</v>
      </c>
      <c r="C15" s="42">
        <v>2019.0</v>
      </c>
      <c r="D15" s="41" t="s">
        <v>309</v>
      </c>
      <c r="E15" s="42">
        <v>0.0</v>
      </c>
      <c r="F15" s="42">
        <v>0.014127</v>
      </c>
      <c r="G15" s="42">
        <v>0.013946</v>
      </c>
      <c r="H15" s="42">
        <v>0.08</v>
      </c>
      <c r="I15" s="43">
        <v>100000.0</v>
      </c>
      <c r="J15" s="42">
        <v>1395.0</v>
      </c>
      <c r="K15" s="42">
        <v>98721.0</v>
      </c>
      <c r="L15" s="42">
        <v>7303478.0</v>
      </c>
      <c r="M15" s="42">
        <v>73.03</v>
      </c>
      <c r="O15" s="44" t="s">
        <v>308</v>
      </c>
      <c r="P15" s="45">
        <v>2019.0</v>
      </c>
      <c r="Q15" s="44" t="s">
        <v>310</v>
      </c>
      <c r="R15" s="45">
        <v>0.0</v>
      </c>
      <c r="S15" s="45">
        <v>0.011322</v>
      </c>
      <c r="T15" s="45">
        <v>0.011206</v>
      </c>
      <c r="U15" s="45">
        <v>0.08</v>
      </c>
      <c r="V15" s="46">
        <v>100000.0</v>
      </c>
      <c r="W15" s="45">
        <v>1121.0</v>
      </c>
      <c r="X15" s="45">
        <v>98974.0</v>
      </c>
      <c r="Y15" s="45">
        <v>7937292.0</v>
      </c>
      <c r="Z15" s="45">
        <v>79.37</v>
      </c>
    </row>
    <row r="16">
      <c r="B16" s="41" t="s">
        <v>308</v>
      </c>
      <c r="C16" s="42">
        <v>2019.0</v>
      </c>
      <c r="D16" s="41" t="s">
        <v>309</v>
      </c>
      <c r="E16" s="42">
        <v>1.0</v>
      </c>
      <c r="F16" s="42">
        <v>6.02E-4</v>
      </c>
      <c r="G16" s="42">
        <v>0.002404</v>
      </c>
      <c r="H16" s="42">
        <v>1.61</v>
      </c>
      <c r="I16" s="42">
        <v>98605.0</v>
      </c>
      <c r="J16" s="42">
        <v>237.0</v>
      </c>
      <c r="K16" s="42">
        <v>393855.0</v>
      </c>
      <c r="L16" s="42">
        <v>7204757.0</v>
      </c>
      <c r="M16" s="42">
        <v>73.07</v>
      </c>
      <c r="O16" s="44" t="s">
        <v>308</v>
      </c>
      <c r="P16" s="45">
        <v>2019.0</v>
      </c>
      <c r="Q16" s="44" t="s">
        <v>310</v>
      </c>
      <c r="R16" s="45">
        <v>1.0</v>
      </c>
      <c r="S16" s="45">
        <v>5.24E-4</v>
      </c>
      <c r="T16" s="45">
        <v>0.002094</v>
      </c>
      <c r="U16" s="45">
        <v>1.5</v>
      </c>
      <c r="V16" s="45">
        <v>98879.0</v>
      </c>
      <c r="W16" s="45">
        <v>207.0</v>
      </c>
      <c r="X16" s="45">
        <v>395001.0</v>
      </c>
      <c r="Y16" s="45">
        <v>7838317.0</v>
      </c>
      <c r="Z16" s="45">
        <v>79.27</v>
      </c>
    </row>
    <row r="17">
      <c r="B17" s="41" t="s">
        <v>308</v>
      </c>
      <c r="C17" s="42">
        <v>2019.0</v>
      </c>
      <c r="D17" s="41" t="s">
        <v>309</v>
      </c>
      <c r="E17" s="42">
        <v>5.0</v>
      </c>
      <c r="F17" s="42">
        <v>2.47E-4</v>
      </c>
      <c r="G17" s="42">
        <v>0.001234</v>
      </c>
      <c r="H17" s="42">
        <v>2.5</v>
      </c>
      <c r="I17" s="42">
        <v>98368.0</v>
      </c>
      <c r="J17" s="42">
        <v>121.0</v>
      </c>
      <c r="K17" s="42">
        <v>491538.0</v>
      </c>
      <c r="L17" s="42">
        <v>6810902.0</v>
      </c>
      <c r="M17" s="42">
        <v>69.24</v>
      </c>
      <c r="O17" s="44" t="s">
        <v>308</v>
      </c>
      <c r="P17" s="45">
        <v>2019.0</v>
      </c>
      <c r="Q17" s="44" t="s">
        <v>310</v>
      </c>
      <c r="R17" s="45">
        <v>5.0</v>
      </c>
      <c r="S17" s="45">
        <v>2.13E-4</v>
      </c>
      <c r="T17" s="45">
        <v>0.001064</v>
      </c>
      <c r="U17" s="45">
        <v>2.5</v>
      </c>
      <c r="V17" s="45">
        <v>98672.0</v>
      </c>
      <c r="W17" s="45">
        <v>105.0</v>
      </c>
      <c r="X17" s="45">
        <v>493099.0</v>
      </c>
      <c r="Y17" s="45">
        <v>7443317.0</v>
      </c>
      <c r="Z17" s="45">
        <v>75.43</v>
      </c>
    </row>
    <row r="18">
      <c r="B18" s="41" t="s">
        <v>308</v>
      </c>
      <c r="C18" s="42">
        <v>2019.0</v>
      </c>
      <c r="D18" s="41" t="s">
        <v>309</v>
      </c>
      <c r="E18" s="42">
        <v>10.0</v>
      </c>
      <c r="F18" s="42">
        <v>3.37E-4</v>
      </c>
      <c r="G18" s="42">
        <v>0.001685</v>
      </c>
      <c r="H18" s="42">
        <v>2.5</v>
      </c>
      <c r="I18" s="42">
        <v>98247.0</v>
      </c>
      <c r="J18" s="42">
        <v>166.0</v>
      </c>
      <c r="K18" s="42">
        <v>490821.0</v>
      </c>
      <c r="L18" s="42">
        <v>6319364.0</v>
      </c>
      <c r="M18" s="42">
        <v>64.32</v>
      </c>
      <c r="O18" s="44" t="s">
        <v>308</v>
      </c>
      <c r="P18" s="45">
        <v>2019.0</v>
      </c>
      <c r="Q18" s="44" t="s">
        <v>310</v>
      </c>
      <c r="R18" s="45">
        <v>10.0</v>
      </c>
      <c r="S18" s="45">
        <v>2.42E-4</v>
      </c>
      <c r="T18" s="45">
        <v>0.00121</v>
      </c>
      <c r="U18" s="45">
        <v>2.5</v>
      </c>
      <c r="V18" s="45">
        <v>98567.0</v>
      </c>
      <c r="W18" s="45">
        <v>119.0</v>
      </c>
      <c r="X18" s="45">
        <v>492538.0</v>
      </c>
      <c r="Y18" s="45">
        <v>6950217.0</v>
      </c>
      <c r="Z18" s="45">
        <v>70.51</v>
      </c>
    </row>
    <row r="19">
      <c r="B19" s="41" t="s">
        <v>308</v>
      </c>
      <c r="C19" s="42">
        <v>2019.0</v>
      </c>
      <c r="D19" s="41" t="s">
        <v>309</v>
      </c>
      <c r="E19" s="42">
        <v>15.0</v>
      </c>
      <c r="F19" s="42">
        <v>0.001232</v>
      </c>
      <c r="G19" s="42">
        <v>0.006142</v>
      </c>
      <c r="H19" s="42">
        <v>2.5</v>
      </c>
      <c r="I19" s="42">
        <v>98081.0</v>
      </c>
      <c r="J19" s="42">
        <v>602.0</v>
      </c>
      <c r="K19" s="42">
        <v>488901.0</v>
      </c>
      <c r="L19" s="42">
        <v>5828543.0</v>
      </c>
      <c r="M19" s="42">
        <v>59.43</v>
      </c>
      <c r="O19" s="44" t="s">
        <v>308</v>
      </c>
      <c r="P19" s="45">
        <v>2019.0</v>
      </c>
      <c r="Q19" s="44" t="s">
        <v>310</v>
      </c>
      <c r="R19" s="45">
        <v>15.0</v>
      </c>
      <c r="S19" s="45">
        <v>4.64E-4</v>
      </c>
      <c r="T19" s="45">
        <v>0.002316</v>
      </c>
      <c r="U19" s="45">
        <v>2.5</v>
      </c>
      <c r="V19" s="45">
        <v>98448.0</v>
      </c>
      <c r="W19" s="45">
        <v>228.0</v>
      </c>
      <c r="X19" s="45">
        <v>491670.0</v>
      </c>
      <c r="Y19" s="45">
        <v>6457679.0</v>
      </c>
      <c r="Z19" s="45">
        <v>65.59</v>
      </c>
    </row>
    <row r="20">
      <c r="B20" s="41" t="s">
        <v>308</v>
      </c>
      <c r="C20" s="42">
        <v>2019.0</v>
      </c>
      <c r="D20" s="41" t="s">
        <v>309</v>
      </c>
      <c r="E20" s="42">
        <v>20.0</v>
      </c>
      <c r="F20" s="42">
        <v>0.002316</v>
      </c>
      <c r="G20" s="42">
        <v>0.011511</v>
      </c>
      <c r="H20" s="42">
        <v>2.5</v>
      </c>
      <c r="I20" s="42">
        <v>97479.0</v>
      </c>
      <c r="J20" s="42">
        <v>1122.0</v>
      </c>
      <c r="K20" s="42">
        <v>484590.0</v>
      </c>
      <c r="L20" s="42">
        <v>5339643.0</v>
      </c>
      <c r="M20" s="42">
        <v>54.78</v>
      </c>
      <c r="O20" s="44" t="s">
        <v>308</v>
      </c>
      <c r="P20" s="45">
        <v>2019.0</v>
      </c>
      <c r="Q20" s="44" t="s">
        <v>310</v>
      </c>
      <c r="R20" s="45">
        <v>20.0</v>
      </c>
      <c r="S20" s="45">
        <v>6.07E-4</v>
      </c>
      <c r="T20" s="45">
        <v>0.003031</v>
      </c>
      <c r="U20" s="45">
        <v>2.5</v>
      </c>
      <c r="V20" s="45">
        <v>98220.0</v>
      </c>
      <c r="W20" s="45">
        <v>298.0</v>
      </c>
      <c r="X20" s="45">
        <v>490356.0</v>
      </c>
      <c r="Y20" s="45">
        <v>5966009.0</v>
      </c>
      <c r="Z20" s="45">
        <v>60.74</v>
      </c>
    </row>
    <row r="21">
      <c r="B21" s="41" t="s">
        <v>308</v>
      </c>
      <c r="C21" s="42">
        <v>2019.0</v>
      </c>
      <c r="D21" s="41" t="s">
        <v>309</v>
      </c>
      <c r="E21" s="42">
        <v>25.0</v>
      </c>
      <c r="F21" s="42">
        <v>0.002909</v>
      </c>
      <c r="G21" s="42">
        <v>0.01444</v>
      </c>
      <c r="H21" s="42">
        <v>2.5</v>
      </c>
      <c r="I21" s="42">
        <v>96357.0</v>
      </c>
      <c r="J21" s="42">
        <v>1391.0</v>
      </c>
      <c r="K21" s="42">
        <v>478306.0</v>
      </c>
      <c r="L21" s="42">
        <v>4855053.0</v>
      </c>
      <c r="M21" s="42">
        <v>50.39</v>
      </c>
      <c r="O21" s="44" t="s">
        <v>308</v>
      </c>
      <c r="P21" s="45">
        <v>2019.0</v>
      </c>
      <c r="Q21" s="44" t="s">
        <v>310</v>
      </c>
      <c r="R21" s="45">
        <v>25.0</v>
      </c>
      <c r="S21" s="45">
        <v>7.39E-4</v>
      </c>
      <c r="T21" s="45">
        <v>0.003687</v>
      </c>
      <c r="U21" s="45">
        <v>2.5</v>
      </c>
      <c r="V21" s="45">
        <v>97922.0</v>
      </c>
      <c r="W21" s="45">
        <v>361.0</v>
      </c>
      <c r="X21" s="45">
        <v>488709.0</v>
      </c>
      <c r="Y21" s="45">
        <v>5475653.0</v>
      </c>
      <c r="Z21" s="45">
        <v>55.92</v>
      </c>
    </row>
    <row r="22">
      <c r="B22" s="41" t="s">
        <v>308</v>
      </c>
      <c r="C22" s="42">
        <v>2019.0</v>
      </c>
      <c r="D22" s="41" t="s">
        <v>309</v>
      </c>
      <c r="E22" s="42">
        <v>30.0</v>
      </c>
      <c r="F22" s="42">
        <v>0.003122</v>
      </c>
      <c r="G22" s="42">
        <v>0.01549</v>
      </c>
      <c r="H22" s="42">
        <v>2.5</v>
      </c>
      <c r="I22" s="42">
        <v>94965.0</v>
      </c>
      <c r="J22" s="42">
        <v>1471.0</v>
      </c>
      <c r="K22" s="42">
        <v>471150.0</v>
      </c>
      <c r="L22" s="42">
        <v>4376747.0</v>
      </c>
      <c r="M22" s="42">
        <v>46.09</v>
      </c>
      <c r="O22" s="44" t="s">
        <v>308</v>
      </c>
      <c r="P22" s="45">
        <v>2019.0</v>
      </c>
      <c r="Q22" s="44" t="s">
        <v>310</v>
      </c>
      <c r="R22" s="45">
        <v>30.0</v>
      </c>
      <c r="S22" s="45">
        <v>8.9E-4</v>
      </c>
      <c r="T22" s="45">
        <v>0.004438</v>
      </c>
      <c r="U22" s="45">
        <v>2.5</v>
      </c>
      <c r="V22" s="45">
        <v>97561.0</v>
      </c>
      <c r="W22" s="45">
        <v>433.0</v>
      </c>
      <c r="X22" s="45">
        <v>486724.0</v>
      </c>
      <c r="Y22" s="45">
        <v>4986945.0</v>
      </c>
      <c r="Z22" s="45">
        <v>51.12</v>
      </c>
    </row>
    <row r="23">
      <c r="B23" s="41" t="s">
        <v>308</v>
      </c>
      <c r="C23" s="42">
        <v>2019.0</v>
      </c>
      <c r="D23" s="41" t="s">
        <v>309</v>
      </c>
      <c r="E23" s="42">
        <v>35.0</v>
      </c>
      <c r="F23" s="42">
        <v>0.003563</v>
      </c>
      <c r="G23" s="42">
        <v>0.01766</v>
      </c>
      <c r="H23" s="42">
        <v>2.5</v>
      </c>
      <c r="I23" s="42">
        <v>93494.0</v>
      </c>
      <c r="J23" s="42">
        <v>1651.0</v>
      </c>
      <c r="K23" s="42">
        <v>463344.0</v>
      </c>
      <c r="L23" s="42">
        <v>3905598.0</v>
      </c>
      <c r="M23" s="42">
        <v>41.77</v>
      </c>
      <c r="O23" s="44" t="s">
        <v>308</v>
      </c>
      <c r="P23" s="45">
        <v>2019.0</v>
      </c>
      <c r="Q23" s="44" t="s">
        <v>310</v>
      </c>
      <c r="R23" s="45">
        <v>35.0</v>
      </c>
      <c r="S23" s="45">
        <v>0.001187</v>
      </c>
      <c r="T23" s="45">
        <v>0.005917</v>
      </c>
      <c r="U23" s="45">
        <v>2.5</v>
      </c>
      <c r="V23" s="45">
        <v>97128.0</v>
      </c>
      <c r="W23" s="45">
        <v>575.0</v>
      </c>
      <c r="X23" s="45">
        <v>484204.0</v>
      </c>
      <c r="Y23" s="45">
        <v>4500221.0</v>
      </c>
      <c r="Z23" s="45">
        <v>46.33</v>
      </c>
    </row>
    <row r="24">
      <c r="B24" s="41" t="s">
        <v>308</v>
      </c>
      <c r="C24" s="42">
        <v>2019.0</v>
      </c>
      <c r="D24" s="41" t="s">
        <v>309</v>
      </c>
      <c r="E24" s="42">
        <v>40.0</v>
      </c>
      <c r="F24" s="42">
        <v>0.004481</v>
      </c>
      <c r="G24" s="42">
        <v>0.022155</v>
      </c>
      <c r="H24" s="42">
        <v>2.5</v>
      </c>
      <c r="I24" s="42">
        <v>91843.0</v>
      </c>
      <c r="J24" s="42">
        <v>2035.0</v>
      </c>
      <c r="K24" s="42">
        <v>454130.0</v>
      </c>
      <c r="L24" s="42">
        <v>3442253.0</v>
      </c>
      <c r="M24" s="42">
        <v>37.48</v>
      </c>
      <c r="O24" s="44" t="s">
        <v>308</v>
      </c>
      <c r="P24" s="45">
        <v>2019.0</v>
      </c>
      <c r="Q24" s="44" t="s">
        <v>310</v>
      </c>
      <c r="R24" s="45">
        <v>40.0</v>
      </c>
      <c r="S24" s="45">
        <v>0.001766</v>
      </c>
      <c r="T24" s="45">
        <v>0.008789</v>
      </c>
      <c r="U24" s="45">
        <v>2.5</v>
      </c>
      <c r="V24" s="45">
        <v>96554.0</v>
      </c>
      <c r="W24" s="45">
        <v>849.0</v>
      </c>
      <c r="X24" s="45">
        <v>480646.0</v>
      </c>
      <c r="Y24" s="45">
        <v>4016017.0</v>
      </c>
      <c r="Z24" s="45">
        <v>41.59</v>
      </c>
    </row>
    <row r="25">
      <c r="B25" s="41" t="s">
        <v>308</v>
      </c>
      <c r="C25" s="42">
        <v>2019.0</v>
      </c>
      <c r="D25" s="41" t="s">
        <v>309</v>
      </c>
      <c r="E25" s="42">
        <v>45.0</v>
      </c>
      <c r="F25" s="42">
        <v>0.005676</v>
      </c>
      <c r="G25" s="42">
        <v>0.027981</v>
      </c>
      <c r="H25" s="42">
        <v>2.5</v>
      </c>
      <c r="I25" s="42">
        <v>89809.0</v>
      </c>
      <c r="J25" s="42">
        <v>2513.0</v>
      </c>
      <c r="K25" s="42">
        <v>442760.0</v>
      </c>
      <c r="L25" s="42">
        <v>2988124.0</v>
      </c>
      <c r="M25" s="42">
        <v>33.27</v>
      </c>
      <c r="O25" s="44" t="s">
        <v>308</v>
      </c>
      <c r="P25" s="45">
        <v>2019.0</v>
      </c>
      <c r="Q25" s="44" t="s">
        <v>310</v>
      </c>
      <c r="R25" s="45">
        <v>45.0</v>
      </c>
      <c r="S25" s="45">
        <v>0.002717</v>
      </c>
      <c r="T25" s="45">
        <v>0.013494</v>
      </c>
      <c r="U25" s="45">
        <v>2.5</v>
      </c>
      <c r="V25" s="45">
        <v>95705.0</v>
      </c>
      <c r="W25" s="45">
        <v>1291.0</v>
      </c>
      <c r="X25" s="45">
        <v>475296.0</v>
      </c>
      <c r="Y25" s="45">
        <v>3535371.0</v>
      </c>
      <c r="Z25" s="45">
        <v>36.94</v>
      </c>
    </row>
    <row r="26">
      <c r="B26" s="41" t="s">
        <v>308</v>
      </c>
      <c r="C26" s="42">
        <v>2019.0</v>
      </c>
      <c r="D26" s="41" t="s">
        <v>309</v>
      </c>
      <c r="E26" s="42">
        <v>50.0</v>
      </c>
      <c r="F26" s="42">
        <v>0.007547</v>
      </c>
      <c r="G26" s="42">
        <v>0.037038</v>
      </c>
      <c r="H26" s="42">
        <v>2.5</v>
      </c>
      <c r="I26" s="42">
        <v>87296.0</v>
      </c>
      <c r="J26" s="42">
        <v>3233.0</v>
      </c>
      <c r="K26" s="42">
        <v>428395.0</v>
      </c>
      <c r="L26" s="42">
        <v>2545363.0</v>
      </c>
      <c r="M26" s="42">
        <v>29.16</v>
      </c>
      <c r="O26" s="44" t="s">
        <v>308</v>
      </c>
      <c r="P26" s="45">
        <v>2019.0</v>
      </c>
      <c r="Q26" s="44" t="s">
        <v>310</v>
      </c>
      <c r="R26" s="45">
        <v>50.0</v>
      </c>
      <c r="S26" s="45">
        <v>0.004073</v>
      </c>
      <c r="T26" s="45">
        <v>0.020159</v>
      </c>
      <c r="U26" s="45">
        <v>2.5</v>
      </c>
      <c r="V26" s="45">
        <v>94413.0</v>
      </c>
      <c r="W26" s="45">
        <v>1903.0</v>
      </c>
      <c r="X26" s="45">
        <v>467309.0</v>
      </c>
      <c r="Y26" s="45">
        <v>3060075.0</v>
      </c>
      <c r="Z26" s="45">
        <v>32.41</v>
      </c>
    </row>
    <row r="27">
      <c r="B27" s="41" t="s">
        <v>308</v>
      </c>
      <c r="C27" s="42">
        <v>2019.0</v>
      </c>
      <c r="D27" s="41" t="s">
        <v>309</v>
      </c>
      <c r="E27" s="42">
        <v>55.0</v>
      </c>
      <c r="F27" s="42">
        <v>0.011197</v>
      </c>
      <c r="G27" s="42">
        <v>0.054463</v>
      </c>
      <c r="H27" s="42">
        <v>2.5</v>
      </c>
      <c r="I27" s="42">
        <v>84062.0</v>
      </c>
      <c r="J27" s="42">
        <v>4578.0</v>
      </c>
      <c r="K27" s="42">
        <v>408866.0</v>
      </c>
      <c r="L27" s="42">
        <v>2116968.0</v>
      </c>
      <c r="M27" s="42">
        <v>25.18</v>
      </c>
      <c r="O27" s="44" t="s">
        <v>308</v>
      </c>
      <c r="P27" s="45">
        <v>2019.0</v>
      </c>
      <c r="Q27" s="44" t="s">
        <v>310</v>
      </c>
      <c r="R27" s="45">
        <v>55.0</v>
      </c>
      <c r="S27" s="45">
        <v>0.006756</v>
      </c>
      <c r="T27" s="45">
        <v>0.033219</v>
      </c>
      <c r="U27" s="45">
        <v>2.5</v>
      </c>
      <c r="V27" s="45">
        <v>92510.0</v>
      </c>
      <c r="W27" s="45">
        <v>3073.0</v>
      </c>
      <c r="X27" s="45">
        <v>454868.0</v>
      </c>
      <c r="Y27" s="45">
        <v>2592766.0</v>
      </c>
      <c r="Z27" s="45">
        <v>28.03</v>
      </c>
    </row>
    <row r="28">
      <c r="B28" s="41" t="s">
        <v>308</v>
      </c>
      <c r="C28" s="42">
        <v>2019.0</v>
      </c>
      <c r="D28" s="41" t="s">
        <v>309</v>
      </c>
      <c r="E28" s="42">
        <v>60.0</v>
      </c>
      <c r="F28" s="42">
        <v>0.015251</v>
      </c>
      <c r="G28" s="42">
        <v>0.073456</v>
      </c>
      <c r="H28" s="42">
        <v>2.5</v>
      </c>
      <c r="I28" s="42">
        <v>79484.0</v>
      </c>
      <c r="J28" s="42">
        <v>5839.0</v>
      </c>
      <c r="K28" s="42">
        <v>382824.0</v>
      </c>
      <c r="L28" s="42">
        <v>1708103.0</v>
      </c>
      <c r="M28" s="42">
        <v>21.49</v>
      </c>
      <c r="O28" s="44" t="s">
        <v>308</v>
      </c>
      <c r="P28" s="45">
        <v>2019.0</v>
      </c>
      <c r="Q28" s="44" t="s">
        <v>310</v>
      </c>
      <c r="R28" s="45">
        <v>60.0</v>
      </c>
      <c r="S28" s="45">
        <v>0.009871</v>
      </c>
      <c r="T28" s="45">
        <v>0.048168</v>
      </c>
      <c r="U28" s="45">
        <v>2.5</v>
      </c>
      <c r="V28" s="45">
        <v>89437.0</v>
      </c>
      <c r="W28" s="45">
        <v>4308.0</v>
      </c>
      <c r="X28" s="45">
        <v>436416.0</v>
      </c>
      <c r="Y28" s="45">
        <v>2137898.0</v>
      </c>
      <c r="Z28" s="45">
        <v>23.9</v>
      </c>
    </row>
    <row r="29">
      <c r="B29" s="41" t="s">
        <v>308</v>
      </c>
      <c r="C29" s="42">
        <v>2019.0</v>
      </c>
      <c r="D29" s="41" t="s">
        <v>309</v>
      </c>
      <c r="E29" s="42">
        <v>65.0</v>
      </c>
      <c r="F29" s="42">
        <v>0.021149</v>
      </c>
      <c r="G29" s="42">
        <v>0.100433</v>
      </c>
      <c r="H29" s="42">
        <v>2.5</v>
      </c>
      <c r="I29" s="42">
        <v>73646.0</v>
      </c>
      <c r="J29" s="42">
        <v>7396.0</v>
      </c>
      <c r="K29" s="42">
        <v>349736.0</v>
      </c>
      <c r="L29" s="42">
        <v>1325279.0</v>
      </c>
      <c r="M29" s="42">
        <v>18.0</v>
      </c>
      <c r="O29" s="44" t="s">
        <v>308</v>
      </c>
      <c r="P29" s="45">
        <v>2019.0</v>
      </c>
      <c r="Q29" s="44" t="s">
        <v>310</v>
      </c>
      <c r="R29" s="45">
        <v>65.0</v>
      </c>
      <c r="S29" s="45">
        <v>0.014752</v>
      </c>
      <c r="T29" s="45">
        <v>0.071137</v>
      </c>
      <c r="U29" s="45">
        <v>2.5</v>
      </c>
      <c r="V29" s="45">
        <v>85129.0</v>
      </c>
      <c r="W29" s="45">
        <v>6056.0</v>
      </c>
      <c r="X29" s="45">
        <v>410506.0</v>
      </c>
      <c r="Y29" s="45">
        <v>1701482.0</v>
      </c>
      <c r="Z29" s="45">
        <v>19.99</v>
      </c>
    </row>
    <row r="30">
      <c r="B30" s="41" t="s">
        <v>308</v>
      </c>
      <c r="C30" s="42">
        <v>2019.0</v>
      </c>
      <c r="D30" s="41" t="s">
        <v>309</v>
      </c>
      <c r="E30" s="42">
        <v>70.0</v>
      </c>
      <c r="F30" s="42">
        <v>0.031114</v>
      </c>
      <c r="G30" s="42">
        <v>0.144342</v>
      </c>
      <c r="H30" s="42">
        <v>2.5</v>
      </c>
      <c r="I30" s="42">
        <v>66249.0</v>
      </c>
      <c r="J30" s="42">
        <v>9563.0</v>
      </c>
      <c r="K30" s="42">
        <v>307339.0</v>
      </c>
      <c r="L30" s="42">
        <v>975542.0</v>
      </c>
      <c r="M30" s="42">
        <v>14.73</v>
      </c>
      <c r="O30" s="44" t="s">
        <v>308</v>
      </c>
      <c r="P30" s="45">
        <v>2019.0</v>
      </c>
      <c r="Q30" s="44" t="s">
        <v>310</v>
      </c>
      <c r="R30" s="45">
        <v>70.0</v>
      </c>
      <c r="S30" s="45">
        <v>0.022369</v>
      </c>
      <c r="T30" s="45">
        <v>0.105922</v>
      </c>
      <c r="U30" s="45">
        <v>2.5</v>
      </c>
      <c r="V30" s="45">
        <v>79073.0</v>
      </c>
      <c r="W30" s="45">
        <v>8376.0</v>
      </c>
      <c r="X30" s="45">
        <v>374427.0</v>
      </c>
      <c r="Y30" s="45">
        <v>1290977.0</v>
      </c>
      <c r="Z30" s="45">
        <v>16.33</v>
      </c>
    </row>
    <row r="31">
      <c r="B31" s="41" t="s">
        <v>308</v>
      </c>
      <c r="C31" s="42">
        <v>2019.0</v>
      </c>
      <c r="D31" s="41" t="s">
        <v>309</v>
      </c>
      <c r="E31" s="42">
        <v>75.0</v>
      </c>
      <c r="F31" s="42">
        <v>0.046723</v>
      </c>
      <c r="G31" s="42">
        <v>0.209183</v>
      </c>
      <c r="H31" s="42">
        <v>2.5</v>
      </c>
      <c r="I31" s="42">
        <v>56687.0</v>
      </c>
      <c r="J31" s="42">
        <v>11858.0</v>
      </c>
      <c r="K31" s="42">
        <v>253788.0</v>
      </c>
      <c r="L31" s="42">
        <v>668203.0</v>
      </c>
      <c r="M31" s="42">
        <v>11.79</v>
      </c>
      <c r="O31" s="44" t="s">
        <v>308</v>
      </c>
      <c r="P31" s="45">
        <v>2019.0</v>
      </c>
      <c r="Q31" s="44" t="s">
        <v>310</v>
      </c>
      <c r="R31" s="45">
        <v>75.0</v>
      </c>
      <c r="S31" s="45">
        <v>0.036857</v>
      </c>
      <c r="T31" s="45">
        <v>0.168738</v>
      </c>
      <c r="U31" s="45">
        <v>2.5</v>
      </c>
      <c r="V31" s="45">
        <v>70698.0</v>
      </c>
      <c r="W31" s="45">
        <v>11929.0</v>
      </c>
      <c r="X31" s="45">
        <v>323665.0</v>
      </c>
      <c r="Y31" s="45">
        <v>916549.0</v>
      </c>
      <c r="Z31" s="45">
        <v>12.96</v>
      </c>
    </row>
    <row r="32">
      <c r="B32" s="41" t="s">
        <v>308</v>
      </c>
      <c r="C32" s="42">
        <v>2019.0</v>
      </c>
      <c r="D32" s="41" t="s">
        <v>309</v>
      </c>
      <c r="E32" s="42">
        <v>80.0</v>
      </c>
      <c r="F32" s="42">
        <v>0.074361</v>
      </c>
      <c r="G32" s="42">
        <v>0.313522</v>
      </c>
      <c r="H32" s="42">
        <v>2.5</v>
      </c>
      <c r="I32" s="42">
        <v>44829.0</v>
      </c>
      <c r="J32" s="42">
        <v>14055.0</v>
      </c>
      <c r="K32" s="42">
        <v>189007.0</v>
      </c>
      <c r="L32" s="42">
        <v>414415.0</v>
      </c>
      <c r="M32" s="42">
        <v>9.24</v>
      </c>
      <c r="O32" s="44" t="s">
        <v>308</v>
      </c>
      <c r="P32" s="45">
        <v>2019.0</v>
      </c>
      <c r="Q32" s="44" t="s">
        <v>310</v>
      </c>
      <c r="R32" s="45">
        <v>80.0</v>
      </c>
      <c r="S32" s="45">
        <v>0.060602</v>
      </c>
      <c r="T32" s="45">
        <v>0.263143</v>
      </c>
      <c r="U32" s="45">
        <v>2.5</v>
      </c>
      <c r="V32" s="45">
        <v>58768.0</v>
      </c>
      <c r="W32" s="45">
        <v>15464.0</v>
      </c>
      <c r="X32" s="45">
        <v>255180.0</v>
      </c>
      <c r="Y32" s="45">
        <v>592884.0</v>
      </c>
      <c r="Z32" s="45">
        <v>10.09</v>
      </c>
    </row>
    <row r="33">
      <c r="B33" s="41" t="s">
        <v>308</v>
      </c>
      <c r="C33" s="42">
        <v>2019.0</v>
      </c>
      <c r="D33" s="41" t="s">
        <v>309</v>
      </c>
      <c r="E33" s="42">
        <v>85.0</v>
      </c>
      <c r="F33" s="42">
        <v>0.136525</v>
      </c>
      <c r="G33" s="42">
        <v>1.0</v>
      </c>
      <c r="H33" s="41" t="s">
        <v>311</v>
      </c>
      <c r="I33" s="42">
        <v>30774.0</v>
      </c>
      <c r="J33" s="42">
        <v>30774.0</v>
      </c>
      <c r="K33" s="42">
        <v>225408.0</v>
      </c>
      <c r="L33" s="42">
        <v>225408.0</v>
      </c>
      <c r="M33" s="42">
        <v>7.32</v>
      </c>
      <c r="O33" s="44" t="s">
        <v>308</v>
      </c>
      <c r="P33" s="45">
        <v>2019.0</v>
      </c>
      <c r="Q33" s="44" t="s">
        <v>310</v>
      </c>
      <c r="R33" s="45">
        <v>85.0</v>
      </c>
      <c r="S33" s="45">
        <v>0.12823</v>
      </c>
      <c r="T33" s="45">
        <v>1.0</v>
      </c>
      <c r="U33" s="44" t="s">
        <v>311</v>
      </c>
      <c r="V33" s="45">
        <v>43304.0</v>
      </c>
      <c r="W33" s="45">
        <v>43304.0</v>
      </c>
      <c r="X33" s="45">
        <v>337704.0</v>
      </c>
      <c r="Y33" s="45">
        <v>337704.0</v>
      </c>
      <c r="Z33" s="45">
        <v>7.8</v>
      </c>
    </row>
    <row r="34">
      <c r="B34" s="40"/>
      <c r="C34" s="47"/>
      <c r="D34" s="40"/>
      <c r="E34" s="47"/>
      <c r="F34" s="47"/>
      <c r="G34" s="47"/>
      <c r="H34" s="47"/>
      <c r="I34" s="47"/>
      <c r="J34" s="47"/>
      <c r="K34" s="47"/>
      <c r="L34" s="47"/>
      <c r="M34" s="47"/>
    </row>
    <row r="35">
      <c r="B35" s="40"/>
      <c r="C35" s="47"/>
      <c r="D35" s="40"/>
      <c r="E35" s="47"/>
      <c r="F35" s="47"/>
      <c r="G35" s="47"/>
      <c r="H35" s="40"/>
      <c r="I35" s="47"/>
      <c r="J35" s="47"/>
      <c r="K35" s="47"/>
      <c r="L35" s="47"/>
      <c r="M35" s="47"/>
    </row>
    <row r="55">
      <c r="B55" s="40"/>
      <c r="C55" s="47"/>
      <c r="D55" s="40"/>
      <c r="E55" s="47"/>
      <c r="F55" s="47"/>
      <c r="G55" s="47"/>
      <c r="H55" s="47"/>
      <c r="I55" s="48"/>
      <c r="J55" s="47"/>
      <c r="K55" s="47"/>
      <c r="L55" s="47"/>
      <c r="M55" s="47"/>
    </row>
    <row r="56">
      <c r="B56" s="40"/>
      <c r="C56" s="47"/>
      <c r="D56" s="40"/>
      <c r="E56" s="47"/>
      <c r="F56" s="47"/>
      <c r="G56" s="47"/>
      <c r="H56" s="47"/>
      <c r="I56" s="47"/>
      <c r="J56" s="47"/>
      <c r="K56" s="47"/>
      <c r="L56" s="47"/>
      <c r="M56" s="47"/>
    </row>
    <row r="57">
      <c r="B57" s="40"/>
      <c r="C57" s="47"/>
      <c r="D57" s="40"/>
      <c r="E57" s="47"/>
      <c r="F57" s="47"/>
      <c r="G57" s="47"/>
      <c r="H57" s="47"/>
      <c r="I57" s="47"/>
      <c r="J57" s="47"/>
      <c r="K57" s="47"/>
      <c r="L57" s="47"/>
      <c r="M57" s="47"/>
    </row>
    <row r="58">
      <c r="B58" s="40"/>
      <c r="C58" s="47"/>
      <c r="D58" s="40"/>
      <c r="E58" s="47"/>
      <c r="F58" s="47"/>
      <c r="G58" s="47"/>
      <c r="H58" s="47"/>
      <c r="I58" s="47"/>
      <c r="J58" s="47"/>
      <c r="K58" s="47"/>
      <c r="L58" s="47"/>
      <c r="M58" s="47"/>
    </row>
    <row r="59">
      <c r="B59" s="40"/>
      <c r="C59" s="47"/>
      <c r="D59" s="40"/>
      <c r="E59" s="47"/>
      <c r="F59" s="47"/>
      <c r="G59" s="47"/>
      <c r="H59" s="47"/>
      <c r="I59" s="47"/>
      <c r="J59" s="47"/>
      <c r="K59" s="47"/>
      <c r="L59" s="47"/>
      <c r="M59" s="47"/>
    </row>
    <row r="60">
      <c r="B60" s="40"/>
      <c r="C60" s="47"/>
      <c r="D60" s="40"/>
      <c r="E60" s="47"/>
      <c r="F60" s="47"/>
      <c r="G60" s="47"/>
      <c r="H60" s="47"/>
      <c r="I60" s="47"/>
      <c r="J60" s="47"/>
      <c r="K60" s="47"/>
      <c r="L60" s="47"/>
      <c r="M60" s="47"/>
    </row>
    <row r="61">
      <c r="B61" s="40"/>
      <c r="C61" s="47"/>
      <c r="D61" s="40"/>
      <c r="E61" s="47"/>
      <c r="F61" s="47"/>
      <c r="G61" s="47"/>
      <c r="H61" s="47"/>
      <c r="I61" s="47"/>
      <c r="J61" s="47"/>
      <c r="K61" s="47"/>
      <c r="L61" s="47"/>
      <c r="M61" s="47"/>
    </row>
    <row r="62">
      <c r="B62" s="40"/>
      <c r="C62" s="47"/>
      <c r="D62" s="40"/>
      <c r="E62" s="47"/>
      <c r="F62" s="47"/>
      <c r="G62" s="47"/>
      <c r="H62" s="47"/>
      <c r="I62" s="47"/>
      <c r="J62" s="47"/>
      <c r="K62" s="47"/>
      <c r="L62" s="47"/>
      <c r="M62" s="47"/>
    </row>
    <row r="63">
      <c r="B63" s="40"/>
      <c r="C63" s="47"/>
      <c r="D63" s="40"/>
      <c r="E63" s="47"/>
      <c r="F63" s="47"/>
      <c r="G63" s="47"/>
      <c r="H63" s="47"/>
      <c r="I63" s="47"/>
      <c r="J63" s="47"/>
      <c r="K63" s="47"/>
      <c r="L63" s="47"/>
      <c r="M63" s="47"/>
    </row>
    <row r="64">
      <c r="B64" s="40"/>
      <c r="C64" s="47"/>
      <c r="D64" s="40"/>
      <c r="E64" s="47"/>
      <c r="F64" s="47"/>
      <c r="G64" s="47"/>
      <c r="H64" s="47"/>
      <c r="I64" s="47"/>
      <c r="J64" s="47"/>
      <c r="K64" s="47"/>
      <c r="L64" s="47"/>
      <c r="M64" s="47"/>
    </row>
    <row r="65">
      <c r="B65" s="40"/>
      <c r="C65" s="47"/>
      <c r="D65" s="40"/>
      <c r="E65" s="47"/>
      <c r="F65" s="47"/>
      <c r="G65" s="47"/>
      <c r="H65" s="47"/>
      <c r="I65" s="47"/>
      <c r="J65" s="47"/>
      <c r="K65" s="47"/>
      <c r="L65" s="47"/>
      <c r="M65" s="47"/>
    </row>
    <row r="66">
      <c r="B66" s="40"/>
      <c r="C66" s="47"/>
      <c r="D66" s="40"/>
      <c r="E66" s="47"/>
      <c r="F66" s="47"/>
      <c r="G66" s="47"/>
      <c r="H66" s="47"/>
      <c r="I66" s="47"/>
      <c r="J66" s="47"/>
      <c r="K66" s="47"/>
      <c r="L66" s="47"/>
      <c r="M66" s="47"/>
    </row>
    <row r="67">
      <c r="B67" s="40"/>
      <c r="C67" s="47"/>
      <c r="D67" s="40"/>
      <c r="E67" s="47"/>
      <c r="F67" s="47"/>
      <c r="G67" s="47"/>
      <c r="H67" s="47"/>
      <c r="I67" s="47"/>
      <c r="J67" s="47"/>
      <c r="K67" s="47"/>
      <c r="L67" s="47"/>
      <c r="M67" s="47"/>
    </row>
    <row r="68">
      <c r="B68" s="40"/>
      <c r="C68" s="47"/>
      <c r="D68" s="40"/>
      <c r="E68" s="47"/>
      <c r="F68" s="47"/>
      <c r="G68" s="47"/>
      <c r="H68" s="47"/>
      <c r="I68" s="47"/>
      <c r="J68" s="47"/>
      <c r="K68" s="47"/>
      <c r="L68" s="47"/>
      <c r="M68" s="47"/>
    </row>
    <row r="69">
      <c r="B69" s="40"/>
      <c r="C69" s="47"/>
      <c r="D69" s="40"/>
      <c r="E69" s="47"/>
      <c r="F69" s="47"/>
      <c r="G69" s="47"/>
      <c r="H69" s="47"/>
      <c r="I69" s="47"/>
      <c r="J69" s="47"/>
      <c r="K69" s="47"/>
      <c r="L69" s="47"/>
      <c r="M69" s="47"/>
    </row>
    <row r="70">
      <c r="B70" s="40"/>
      <c r="C70" s="47"/>
      <c r="D70" s="40"/>
      <c r="E70" s="47"/>
      <c r="F70" s="47"/>
      <c r="G70" s="47"/>
      <c r="H70" s="47"/>
      <c r="I70" s="47"/>
      <c r="J70" s="47"/>
      <c r="K70" s="47"/>
      <c r="L70" s="47"/>
      <c r="M70" s="47"/>
    </row>
    <row r="71">
      <c r="B71" s="40"/>
      <c r="C71" s="47"/>
      <c r="D71" s="40"/>
      <c r="E71" s="47"/>
      <c r="F71" s="47"/>
      <c r="G71" s="47"/>
      <c r="H71" s="47"/>
      <c r="I71" s="47"/>
      <c r="J71" s="47"/>
      <c r="K71" s="47"/>
      <c r="L71" s="47"/>
      <c r="M71" s="47"/>
    </row>
    <row r="72">
      <c r="B72" s="40"/>
      <c r="C72" s="47"/>
      <c r="D72" s="40"/>
      <c r="E72" s="47"/>
      <c r="F72" s="47"/>
      <c r="G72" s="47"/>
      <c r="H72" s="47"/>
      <c r="I72" s="47"/>
      <c r="J72" s="47"/>
      <c r="K72" s="47"/>
      <c r="L72" s="47"/>
      <c r="M72" s="47"/>
    </row>
    <row r="73">
      <c r="B73" s="40"/>
      <c r="C73" s="47"/>
      <c r="D73" s="40"/>
      <c r="E73" s="47"/>
      <c r="F73" s="47"/>
      <c r="G73" s="47"/>
      <c r="H73" s="40"/>
      <c r="I73" s="47"/>
      <c r="J73" s="47"/>
      <c r="K73" s="47"/>
      <c r="L73" s="47"/>
      <c r="M73" s="47"/>
    </row>
    <row r="74">
      <c r="B74" s="40"/>
      <c r="C74" s="47"/>
      <c r="D74" s="40"/>
      <c r="E74" s="47"/>
      <c r="F74" s="47"/>
      <c r="G74" s="47"/>
      <c r="H74" s="47"/>
      <c r="I74" s="48"/>
      <c r="J74" s="47"/>
      <c r="K74" s="47"/>
      <c r="L74" s="47"/>
      <c r="M74" s="47"/>
    </row>
    <row r="75">
      <c r="B75" s="40"/>
      <c r="C75" s="47"/>
      <c r="D75" s="40"/>
      <c r="E75" s="47"/>
      <c r="F75" s="47"/>
      <c r="G75" s="47"/>
      <c r="H75" s="47"/>
      <c r="I75" s="47"/>
      <c r="J75" s="47"/>
      <c r="K75" s="47"/>
      <c r="L75" s="47"/>
      <c r="M75" s="47"/>
    </row>
    <row r="76">
      <c r="B76" s="40"/>
      <c r="C76" s="47"/>
      <c r="D76" s="40"/>
      <c r="E76" s="47"/>
      <c r="F76" s="47"/>
      <c r="G76" s="47"/>
      <c r="H76" s="47"/>
      <c r="I76" s="47"/>
      <c r="J76" s="47"/>
      <c r="K76" s="47"/>
      <c r="L76" s="47"/>
      <c r="M76" s="47"/>
    </row>
    <row r="77">
      <c r="B77" s="40"/>
      <c r="C77" s="47"/>
      <c r="D77" s="40"/>
      <c r="E77" s="47"/>
      <c r="F77" s="47"/>
      <c r="G77" s="47"/>
      <c r="H77" s="47"/>
      <c r="I77" s="47"/>
      <c r="J77" s="47"/>
      <c r="K77" s="47"/>
      <c r="L77" s="47"/>
      <c r="M77" s="47"/>
    </row>
    <row r="78">
      <c r="B78" s="40"/>
      <c r="C78" s="47"/>
      <c r="D78" s="40"/>
      <c r="E78" s="47"/>
      <c r="F78" s="47"/>
      <c r="G78" s="47"/>
      <c r="H78" s="47"/>
      <c r="I78" s="47"/>
      <c r="J78" s="47"/>
      <c r="K78" s="47"/>
      <c r="L78" s="47"/>
      <c r="M78" s="47"/>
    </row>
    <row r="79">
      <c r="B79" s="40"/>
      <c r="C79" s="47"/>
      <c r="D79" s="40"/>
      <c r="E79" s="47"/>
      <c r="F79" s="47"/>
      <c r="G79" s="47"/>
      <c r="H79" s="47"/>
      <c r="I79" s="47"/>
      <c r="J79" s="47"/>
      <c r="K79" s="47"/>
      <c r="L79" s="47"/>
      <c r="M79" s="47"/>
    </row>
    <row r="80">
      <c r="B80" s="40"/>
      <c r="C80" s="47"/>
      <c r="D80" s="40"/>
      <c r="E80" s="47"/>
      <c r="F80" s="47"/>
      <c r="G80" s="47"/>
      <c r="H80" s="47"/>
      <c r="I80" s="47"/>
      <c r="J80" s="47"/>
      <c r="K80" s="47"/>
      <c r="L80" s="47"/>
      <c r="M80" s="47"/>
    </row>
    <row r="81">
      <c r="B81" s="40"/>
      <c r="C81" s="47"/>
      <c r="D81" s="40"/>
      <c r="E81" s="47"/>
      <c r="F81" s="47"/>
      <c r="G81" s="47"/>
      <c r="H81" s="47"/>
      <c r="I81" s="47"/>
      <c r="J81" s="47"/>
      <c r="K81" s="47"/>
      <c r="L81" s="47"/>
      <c r="M81" s="47"/>
    </row>
    <row r="82">
      <c r="B82" s="40"/>
      <c r="C82" s="47"/>
      <c r="D82" s="40"/>
      <c r="E82" s="47"/>
      <c r="F82" s="47"/>
      <c r="G82" s="47"/>
      <c r="H82" s="47"/>
      <c r="I82" s="47"/>
      <c r="J82" s="47"/>
      <c r="K82" s="47"/>
      <c r="L82" s="47"/>
      <c r="M82" s="47"/>
    </row>
    <row r="83">
      <c r="B83" s="40"/>
      <c r="C83" s="47"/>
      <c r="D83" s="40"/>
      <c r="E83" s="47"/>
      <c r="F83" s="47"/>
      <c r="G83" s="47"/>
      <c r="H83" s="47"/>
      <c r="I83" s="47"/>
      <c r="J83" s="47"/>
      <c r="K83" s="47"/>
      <c r="L83" s="47"/>
      <c r="M83" s="47"/>
    </row>
    <row r="84">
      <c r="B84" s="40"/>
      <c r="C84" s="47"/>
      <c r="D84" s="40"/>
      <c r="E84" s="47"/>
      <c r="F84" s="47"/>
      <c r="G84" s="47"/>
      <c r="H84" s="47"/>
      <c r="I84" s="47"/>
      <c r="J84" s="47"/>
      <c r="K84" s="47"/>
      <c r="L84" s="47"/>
      <c r="M84" s="47"/>
    </row>
    <row r="85">
      <c r="B85" s="40"/>
      <c r="C85" s="47"/>
      <c r="D85" s="40"/>
      <c r="E85" s="47"/>
      <c r="F85" s="47"/>
      <c r="G85" s="47"/>
      <c r="H85" s="47"/>
      <c r="I85" s="47"/>
      <c r="J85" s="47"/>
      <c r="K85" s="47"/>
      <c r="L85" s="47"/>
      <c r="M85" s="47"/>
    </row>
    <row r="86">
      <c r="B86" s="40"/>
      <c r="C86" s="47"/>
      <c r="D86" s="40"/>
      <c r="E86" s="47"/>
      <c r="F86" s="47"/>
      <c r="G86" s="47"/>
      <c r="H86" s="47"/>
      <c r="I86" s="47"/>
      <c r="J86" s="47"/>
      <c r="K86" s="47"/>
      <c r="L86" s="47"/>
      <c r="M86" s="47"/>
    </row>
    <row r="87">
      <c r="B87" s="40"/>
      <c r="C87" s="47"/>
      <c r="D87" s="40"/>
      <c r="E87" s="47"/>
      <c r="F87" s="47"/>
      <c r="G87" s="47"/>
      <c r="H87" s="47"/>
      <c r="I87" s="47"/>
      <c r="J87" s="47"/>
      <c r="K87" s="47"/>
      <c r="L87" s="47"/>
      <c r="M87" s="47"/>
    </row>
    <row r="88">
      <c r="B88" s="40"/>
      <c r="C88" s="47"/>
      <c r="D88" s="40"/>
      <c r="E88" s="47"/>
      <c r="F88" s="47"/>
      <c r="G88" s="47"/>
      <c r="H88" s="47"/>
      <c r="I88" s="47"/>
      <c r="J88" s="47"/>
      <c r="K88" s="47"/>
      <c r="L88" s="47"/>
      <c r="M88" s="47"/>
    </row>
    <row r="89">
      <c r="B89" s="40"/>
      <c r="C89" s="47"/>
      <c r="D89" s="40"/>
      <c r="E89" s="47"/>
      <c r="F89" s="47"/>
      <c r="G89" s="47"/>
      <c r="H89" s="47"/>
      <c r="I89" s="47"/>
      <c r="J89" s="47"/>
      <c r="K89" s="47"/>
      <c r="L89" s="47"/>
      <c r="M89" s="47"/>
    </row>
    <row r="90">
      <c r="B90" s="40"/>
      <c r="C90" s="47"/>
      <c r="D90" s="40"/>
      <c r="E90" s="47"/>
      <c r="F90" s="47"/>
      <c r="G90" s="47"/>
      <c r="H90" s="47"/>
      <c r="I90" s="47"/>
      <c r="J90" s="47"/>
      <c r="K90" s="47"/>
      <c r="L90" s="47"/>
      <c r="M90" s="47"/>
    </row>
    <row r="91">
      <c r="B91" s="40"/>
      <c r="C91" s="47"/>
      <c r="D91" s="40"/>
      <c r="E91" s="47"/>
      <c r="F91" s="47"/>
      <c r="G91" s="47"/>
      <c r="H91" s="47"/>
      <c r="I91" s="47"/>
      <c r="J91" s="47"/>
      <c r="K91" s="47"/>
      <c r="L91" s="47"/>
      <c r="M91" s="47"/>
    </row>
    <row r="92">
      <c r="B92" s="40"/>
      <c r="C92" s="47"/>
      <c r="D92" s="40"/>
      <c r="E92" s="47"/>
      <c r="F92" s="47"/>
      <c r="G92" s="47"/>
      <c r="H92" s="40"/>
      <c r="I92" s="47"/>
      <c r="J92" s="47"/>
      <c r="K92" s="47"/>
      <c r="L92" s="47"/>
      <c r="M92" s="47"/>
    </row>
    <row r="112">
      <c r="B112" s="40"/>
      <c r="C112" s="47"/>
      <c r="D112" s="40"/>
      <c r="E112" s="47"/>
      <c r="F112" s="47"/>
      <c r="G112" s="47"/>
      <c r="H112" s="47"/>
      <c r="I112" s="48"/>
      <c r="J112" s="47"/>
      <c r="K112" s="47"/>
      <c r="L112" s="47"/>
      <c r="M112" s="47"/>
    </row>
    <row r="113">
      <c r="B113" s="40"/>
      <c r="C113" s="47"/>
      <c r="D113" s="40"/>
      <c r="E113" s="47"/>
      <c r="F113" s="47"/>
      <c r="G113" s="47"/>
      <c r="H113" s="47"/>
      <c r="I113" s="47"/>
      <c r="J113" s="47"/>
      <c r="K113" s="47"/>
      <c r="L113" s="47"/>
      <c r="M113" s="47"/>
    </row>
    <row r="114">
      <c r="B114" s="40"/>
      <c r="C114" s="47"/>
      <c r="D114" s="40"/>
      <c r="E114" s="47"/>
      <c r="F114" s="47"/>
      <c r="G114" s="47"/>
      <c r="H114" s="47"/>
      <c r="I114" s="47"/>
      <c r="J114" s="47"/>
      <c r="K114" s="47"/>
      <c r="L114" s="47"/>
      <c r="M114" s="47"/>
    </row>
    <row r="115">
      <c r="B115" s="40"/>
      <c r="C115" s="47"/>
      <c r="D115" s="40"/>
      <c r="E115" s="47"/>
      <c r="F115" s="47"/>
      <c r="G115" s="47"/>
      <c r="H115" s="47"/>
      <c r="I115" s="47"/>
      <c r="J115" s="47"/>
      <c r="K115" s="47"/>
      <c r="L115" s="47"/>
      <c r="M115" s="47"/>
    </row>
    <row r="116">
      <c r="B116" s="40"/>
      <c r="C116" s="47"/>
      <c r="D116" s="40"/>
      <c r="E116" s="47"/>
      <c r="F116" s="47"/>
      <c r="G116" s="47"/>
      <c r="H116" s="47"/>
      <c r="I116" s="47"/>
      <c r="J116" s="47"/>
      <c r="K116" s="47"/>
      <c r="L116" s="47"/>
      <c r="M116" s="47"/>
    </row>
    <row r="117">
      <c r="B117" s="40"/>
      <c r="C117" s="47"/>
      <c r="D117" s="40"/>
      <c r="E117" s="47"/>
      <c r="F117" s="47"/>
      <c r="G117" s="47"/>
      <c r="H117" s="47"/>
      <c r="I117" s="47"/>
      <c r="J117" s="47"/>
      <c r="K117" s="47"/>
      <c r="L117" s="47"/>
      <c r="M117" s="47"/>
    </row>
    <row r="118">
      <c r="B118" s="40"/>
      <c r="C118" s="47"/>
      <c r="D118" s="40"/>
      <c r="E118" s="47"/>
      <c r="F118" s="47"/>
      <c r="G118" s="47"/>
      <c r="H118" s="47"/>
      <c r="I118" s="47"/>
      <c r="J118" s="47"/>
      <c r="K118" s="47"/>
      <c r="L118" s="47"/>
      <c r="M118" s="47"/>
    </row>
    <row r="119">
      <c r="B119" s="40"/>
      <c r="C119" s="47"/>
      <c r="D119" s="40"/>
      <c r="E119" s="47"/>
      <c r="F119" s="47"/>
      <c r="G119" s="47"/>
      <c r="H119" s="47"/>
      <c r="I119" s="47"/>
      <c r="J119" s="47"/>
      <c r="K119" s="47"/>
      <c r="L119" s="47"/>
      <c r="M119" s="47"/>
    </row>
    <row r="120">
      <c r="B120" s="40"/>
      <c r="C120" s="47"/>
      <c r="D120" s="40"/>
      <c r="E120" s="47"/>
      <c r="F120" s="47"/>
      <c r="G120" s="47"/>
      <c r="H120" s="47"/>
      <c r="I120" s="47"/>
      <c r="J120" s="47"/>
      <c r="K120" s="47"/>
      <c r="L120" s="47"/>
      <c r="M120" s="47"/>
    </row>
    <row r="121">
      <c r="B121" s="40"/>
      <c r="C121" s="47"/>
      <c r="D121" s="40"/>
      <c r="E121" s="47"/>
      <c r="F121" s="47"/>
      <c r="G121" s="47"/>
      <c r="H121" s="47"/>
      <c r="I121" s="47"/>
      <c r="J121" s="47"/>
      <c r="K121" s="47"/>
      <c r="L121" s="47"/>
      <c r="M121" s="47"/>
    </row>
    <row r="122">
      <c r="B122" s="40"/>
      <c r="C122" s="47"/>
      <c r="D122" s="40"/>
      <c r="E122" s="47"/>
      <c r="F122" s="47"/>
      <c r="G122" s="47"/>
      <c r="H122" s="47"/>
      <c r="I122" s="47"/>
      <c r="J122" s="47"/>
      <c r="K122" s="47"/>
      <c r="L122" s="47"/>
      <c r="M122" s="47"/>
    </row>
    <row r="123">
      <c r="B123" s="40"/>
      <c r="C123" s="47"/>
      <c r="D123" s="40"/>
      <c r="E123" s="47"/>
      <c r="F123" s="47"/>
      <c r="G123" s="47"/>
      <c r="H123" s="47"/>
      <c r="I123" s="47"/>
      <c r="J123" s="47"/>
      <c r="K123" s="47"/>
      <c r="L123" s="47"/>
      <c r="M123" s="47"/>
    </row>
    <row r="124">
      <c r="B124" s="40"/>
      <c r="C124" s="47"/>
      <c r="D124" s="40"/>
      <c r="E124" s="47"/>
      <c r="F124" s="47"/>
      <c r="G124" s="47"/>
      <c r="H124" s="47"/>
      <c r="I124" s="47"/>
      <c r="J124" s="47"/>
      <c r="K124" s="47"/>
      <c r="L124" s="47"/>
      <c r="M124" s="47"/>
    </row>
    <row r="125">
      <c r="B125" s="40"/>
      <c r="C125" s="47"/>
      <c r="D125" s="40"/>
      <c r="E125" s="47"/>
      <c r="F125" s="47"/>
      <c r="G125" s="47"/>
      <c r="H125" s="47"/>
      <c r="I125" s="47"/>
      <c r="J125" s="47"/>
      <c r="K125" s="47"/>
      <c r="L125" s="47"/>
      <c r="M125" s="47"/>
    </row>
    <row r="126">
      <c r="B126" s="40"/>
      <c r="C126" s="47"/>
      <c r="D126" s="40"/>
      <c r="E126" s="47"/>
      <c r="F126" s="47"/>
      <c r="G126" s="47"/>
      <c r="H126" s="47"/>
      <c r="I126" s="47"/>
      <c r="J126" s="47"/>
      <c r="K126" s="47"/>
      <c r="L126" s="47"/>
      <c r="M126" s="47"/>
    </row>
    <row r="127">
      <c r="B127" s="40"/>
      <c r="C127" s="47"/>
      <c r="D127" s="40"/>
      <c r="E127" s="47"/>
      <c r="F127" s="47"/>
      <c r="G127" s="47"/>
      <c r="H127" s="47"/>
      <c r="I127" s="47"/>
      <c r="J127" s="47"/>
      <c r="K127" s="47"/>
      <c r="L127" s="47"/>
      <c r="M127" s="47"/>
    </row>
    <row r="128">
      <c r="B128" s="40"/>
      <c r="C128" s="47"/>
      <c r="D128" s="40"/>
      <c r="E128" s="47"/>
      <c r="F128" s="47"/>
      <c r="G128" s="47"/>
      <c r="H128" s="47"/>
      <c r="I128" s="47"/>
      <c r="J128" s="47"/>
      <c r="K128" s="47"/>
      <c r="L128" s="47"/>
      <c r="M128" s="47"/>
    </row>
    <row r="129">
      <c r="B129" s="40"/>
      <c r="C129" s="47"/>
      <c r="D129" s="40"/>
      <c r="E129" s="47"/>
      <c r="F129" s="47"/>
      <c r="G129" s="47"/>
      <c r="H129" s="47"/>
      <c r="I129" s="47"/>
      <c r="J129" s="47"/>
      <c r="K129" s="47"/>
      <c r="L129" s="47"/>
      <c r="M129" s="47"/>
    </row>
    <row r="130">
      <c r="B130" s="40"/>
      <c r="C130" s="47"/>
      <c r="D130" s="40"/>
      <c r="E130" s="47"/>
      <c r="F130" s="47"/>
      <c r="G130" s="47"/>
      <c r="H130" s="40"/>
      <c r="I130" s="47"/>
      <c r="J130" s="47"/>
      <c r="K130" s="47"/>
      <c r="L130" s="47"/>
      <c r="M130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71"/>
    <col customWidth="1" min="4" max="4" width="29.29"/>
    <col customWidth="1" min="18" max="18" width="20.86"/>
  </cols>
  <sheetData>
    <row r="1">
      <c r="B1" s="7" t="s">
        <v>289</v>
      </c>
      <c r="G1" s="7" t="s">
        <v>312</v>
      </c>
    </row>
    <row r="2">
      <c r="G2" s="7" t="s">
        <v>291</v>
      </c>
    </row>
    <row r="3">
      <c r="G3" s="7">
        <v>2019.0</v>
      </c>
    </row>
    <row r="4">
      <c r="B4" s="37" t="s">
        <v>292</v>
      </c>
      <c r="C4" s="38" t="s">
        <v>313</v>
      </c>
      <c r="D4" s="39" t="s">
        <v>294</v>
      </c>
    </row>
    <row r="5">
      <c r="B5" s="7" t="s">
        <v>6</v>
      </c>
      <c r="C5" s="11">
        <f t="shared" ref="C5:D5" si="1">SUM(C6:C12)</f>
        <v>109107</v>
      </c>
      <c r="D5" s="33">
        <f t="shared" si="1"/>
        <v>2117683.304</v>
      </c>
      <c r="G5" s="7" t="s">
        <v>9</v>
      </c>
      <c r="H5" s="7" t="s">
        <v>10</v>
      </c>
      <c r="I5" s="7" t="s">
        <v>6</v>
      </c>
    </row>
    <row r="6">
      <c r="B6" s="4" t="s">
        <v>38</v>
      </c>
      <c r="C6" s="1">
        <v>19130.01954964176</v>
      </c>
      <c r="D6" s="33">
        <f>Veracruz!T37</f>
        <v>341902.1584</v>
      </c>
      <c r="G6" s="11">
        <v>55203.0</v>
      </c>
      <c r="H6" s="11">
        <v>53904.0</v>
      </c>
      <c r="I6" s="7">
        <v>109107.0</v>
      </c>
    </row>
    <row r="7">
      <c r="B7" s="4" t="s">
        <v>45</v>
      </c>
      <c r="C7" s="1">
        <v>30279.299106727456</v>
      </c>
      <c r="D7" s="33">
        <f>Veracruz!T43</f>
        <v>311014.9302</v>
      </c>
    </row>
    <row r="8">
      <c r="B8" s="4" t="s">
        <v>52</v>
      </c>
      <c r="C8" s="1">
        <v>28573.709081604167</v>
      </c>
      <c r="D8" s="33">
        <f>Veracruz!T49</f>
        <v>306657.7803</v>
      </c>
      <c r="G8" s="7" t="s">
        <v>295</v>
      </c>
      <c r="H8" s="1">
        <f>H6/I6</f>
        <v>0.494047128</v>
      </c>
    </row>
    <row r="9">
      <c r="B9" s="4" t="s">
        <v>59</v>
      </c>
      <c r="C9" s="1">
        <v>19118.851995905832</v>
      </c>
      <c r="D9" s="33">
        <f>Veracruz!T55</f>
        <v>303272.3073</v>
      </c>
    </row>
    <row r="10">
      <c r="B10" s="4" t="s">
        <v>66</v>
      </c>
      <c r="C10" s="1">
        <v>9508.664390062342</v>
      </c>
      <c r="D10" s="33">
        <f>Veracruz!T61</f>
        <v>299156.6221</v>
      </c>
    </row>
    <row r="11">
      <c r="B11" s="4" t="s">
        <v>73</v>
      </c>
      <c r="C11" s="1">
        <v>2342.1405880710895</v>
      </c>
      <c r="D11" s="33">
        <f>Veracruz!T67</f>
        <v>286420.7977</v>
      </c>
    </row>
    <row r="12">
      <c r="B12" s="4" t="s">
        <v>80</v>
      </c>
      <c r="C12" s="1">
        <v>154.3152879873453</v>
      </c>
      <c r="D12" s="33">
        <f>Veracruz!T73</f>
        <v>269258.7076</v>
      </c>
    </row>
    <row r="16">
      <c r="B16" s="7" t="s">
        <v>314</v>
      </c>
      <c r="P16" s="7" t="s">
        <v>315</v>
      </c>
    </row>
    <row r="18">
      <c r="B18" s="4" t="s">
        <v>316</v>
      </c>
      <c r="C18" s="4" t="s">
        <v>317</v>
      </c>
      <c r="D18" s="4" t="s">
        <v>300</v>
      </c>
      <c r="E18" s="4" t="s">
        <v>302</v>
      </c>
      <c r="F18" s="4" t="s">
        <v>301</v>
      </c>
      <c r="G18" s="4" t="s">
        <v>318</v>
      </c>
      <c r="H18" s="4" t="s">
        <v>303</v>
      </c>
      <c r="I18" s="4" t="s">
        <v>304</v>
      </c>
      <c r="J18" s="4" t="s">
        <v>305</v>
      </c>
      <c r="K18" s="4" t="s">
        <v>306</v>
      </c>
      <c r="L18" s="4" t="s">
        <v>307</v>
      </c>
      <c r="P18" s="4" t="s">
        <v>316</v>
      </c>
      <c r="Q18" s="4" t="s">
        <v>317</v>
      </c>
      <c r="R18" s="4" t="s">
        <v>300</v>
      </c>
      <c r="S18" s="4" t="s">
        <v>302</v>
      </c>
      <c r="T18" s="4" t="s">
        <v>301</v>
      </c>
      <c r="U18" s="4" t="s">
        <v>318</v>
      </c>
      <c r="V18" s="4" t="s">
        <v>303</v>
      </c>
      <c r="W18" s="4" t="s">
        <v>304</v>
      </c>
      <c r="X18" s="4" t="s">
        <v>305</v>
      </c>
      <c r="Y18" s="4" t="s">
        <v>306</v>
      </c>
      <c r="Z18" s="4" t="s">
        <v>307</v>
      </c>
    </row>
    <row r="19">
      <c r="B19" s="49">
        <v>0.0</v>
      </c>
      <c r="C19" s="49">
        <v>1.0</v>
      </c>
      <c r="D19" s="49">
        <v>0.0117836787802151</v>
      </c>
      <c r="E19" s="49">
        <v>0.0859943005846024</v>
      </c>
      <c r="F19" s="49">
        <v>0.0116581167871457</v>
      </c>
      <c r="G19" s="49">
        <v>0.988341883212854</v>
      </c>
      <c r="H19" s="49">
        <v>100000.0</v>
      </c>
      <c r="I19" s="49">
        <v>1165.81167871457</v>
      </c>
      <c r="J19" s="49">
        <v>98934.4414812099</v>
      </c>
      <c r="K19" s="49">
        <v>7839635.04335417</v>
      </c>
      <c r="L19" s="49">
        <v>78.3963504335417</v>
      </c>
      <c r="P19" s="49">
        <v>0.0</v>
      </c>
      <c r="Q19" s="49">
        <v>1.0</v>
      </c>
      <c r="R19" s="49">
        <v>0.0131444086814234</v>
      </c>
      <c r="S19" s="49">
        <v>0.0802795929009404</v>
      </c>
      <c r="T19" s="49">
        <v>0.0129874016336076</v>
      </c>
      <c r="U19" s="49">
        <v>0.987012598366392</v>
      </c>
      <c r="V19" s="49">
        <v>100000.0</v>
      </c>
      <c r="W19" s="49">
        <v>1298.74016336075</v>
      </c>
      <c r="X19" s="49">
        <v>98805.5221682379</v>
      </c>
      <c r="Y19" s="49">
        <v>7262802.02304429</v>
      </c>
      <c r="Z19" s="49">
        <v>72.6280202304429</v>
      </c>
    </row>
    <row r="20">
      <c r="B20" s="49">
        <v>1.0</v>
      </c>
      <c r="C20" s="49">
        <v>4.0</v>
      </c>
      <c r="D20" s="49">
        <v>5.51067642532625E-4</v>
      </c>
      <c r="E20" s="49">
        <v>2.0</v>
      </c>
      <c r="F20" s="49">
        <v>0.00220184384034186</v>
      </c>
      <c r="G20" s="49">
        <v>0.997798156159658</v>
      </c>
      <c r="H20" s="49">
        <v>98834.1883212854</v>
      </c>
      <c r="I20" s="49">
        <v>217.617448770397</v>
      </c>
      <c r="J20" s="49">
        <v>394901.518387601</v>
      </c>
      <c r="K20" s="49">
        <v>7740700.60187296</v>
      </c>
      <c r="L20" s="49">
        <v>78.3200705479552</v>
      </c>
      <c r="P20" s="49">
        <v>1.0</v>
      </c>
      <c r="Q20" s="49">
        <v>4.0</v>
      </c>
      <c r="R20" s="49">
        <v>6.07584412262013E-4</v>
      </c>
      <c r="S20" s="49">
        <v>2.0</v>
      </c>
      <c r="T20" s="49">
        <v>0.00242738796287055</v>
      </c>
      <c r="U20" s="49">
        <v>0.997572612037129</v>
      </c>
      <c r="V20" s="49">
        <v>98701.2598366392</v>
      </c>
      <c r="W20" s="49">
        <v>239.586250047621</v>
      </c>
      <c r="X20" s="49">
        <v>394325.866846462</v>
      </c>
      <c r="Y20" s="49">
        <v>7163996.50087605</v>
      </c>
      <c r="Z20" s="49">
        <v>72.5826247074577</v>
      </c>
    </row>
    <row r="21">
      <c r="B21" s="49">
        <v>5.0</v>
      </c>
      <c r="C21" s="49">
        <v>5.0</v>
      </c>
      <c r="D21" s="49">
        <v>2.56637511451703E-4</v>
      </c>
      <c r="E21" s="49">
        <v>2.5</v>
      </c>
      <c r="F21" s="49">
        <v>0.00128236479998091</v>
      </c>
      <c r="G21" s="49">
        <v>0.998717635200019</v>
      </c>
      <c r="H21" s="49">
        <v>98616.570872515</v>
      </c>
      <c r="I21" s="49">
        <v>126.462419181742</v>
      </c>
      <c r="J21" s="49">
        <v>492766.698314621</v>
      </c>
      <c r="K21" s="49">
        <v>7345799.08348536</v>
      </c>
      <c r="L21" s="49">
        <v>74.4884862502624</v>
      </c>
      <c r="P21" s="49">
        <v>5.0</v>
      </c>
      <c r="Q21" s="49">
        <v>5.0</v>
      </c>
      <c r="R21" s="49">
        <v>3.07497722776298E-4</v>
      </c>
      <c r="S21" s="49">
        <v>2.5</v>
      </c>
      <c r="T21" s="49">
        <v>0.00153630758617091</v>
      </c>
      <c r="U21" s="49">
        <v>0.998463692413829</v>
      </c>
      <c r="V21" s="49">
        <v>98461.6735865916</v>
      </c>
      <c r="W21" s="49">
        <v>151.267416078175</v>
      </c>
      <c r="X21" s="49">
        <v>491930.199392763</v>
      </c>
      <c r="Y21" s="49">
        <v>6769670.63402959</v>
      </c>
      <c r="Z21" s="49">
        <v>68.7543730208489</v>
      </c>
    </row>
    <row r="22">
      <c r="B22" s="49">
        <v>10.0</v>
      </c>
      <c r="C22" s="49">
        <v>5.0</v>
      </c>
      <c r="D22" s="49">
        <v>2.46989085434701E-4</v>
      </c>
      <c r="E22" s="49">
        <v>2.5</v>
      </c>
      <c r="F22" s="49">
        <v>0.00123418335262969</v>
      </c>
      <c r="G22" s="49">
        <v>0.99876581664737</v>
      </c>
      <c r="H22" s="49">
        <v>98490.1084533333</v>
      </c>
      <c r="I22" s="49">
        <v>121.554852251807</v>
      </c>
      <c r="J22" s="49">
        <v>492146.655136037</v>
      </c>
      <c r="K22" s="49">
        <v>6853032.38517074</v>
      </c>
      <c r="L22" s="49">
        <v>69.5809202851863</v>
      </c>
      <c r="P22" s="49">
        <v>10.0</v>
      </c>
      <c r="Q22" s="49">
        <v>5.0</v>
      </c>
      <c r="R22" s="49">
        <v>3.4837932225944E-4</v>
      </c>
      <c r="S22" s="49">
        <v>2.5</v>
      </c>
      <c r="T22" s="49">
        <v>0.00174038082956251</v>
      </c>
      <c r="U22" s="49">
        <v>0.998259619170437</v>
      </c>
      <c r="V22" s="49">
        <v>98310.4061705135</v>
      </c>
      <c r="W22" s="49">
        <v>171.09754624567</v>
      </c>
      <c r="X22" s="49">
        <v>491124.286986953</v>
      </c>
      <c r="Y22" s="49">
        <v>6277740.43463683</v>
      </c>
      <c r="Z22" s="49">
        <v>63.8563167336372</v>
      </c>
    </row>
    <row r="23">
      <c r="B23" s="49">
        <v>15.0</v>
      </c>
      <c r="C23" s="49">
        <v>5.0</v>
      </c>
      <c r="D23" s="49">
        <v>4.22756016933727E-4</v>
      </c>
      <c r="E23" s="49">
        <v>2.5</v>
      </c>
      <c r="F23" s="49">
        <v>0.00211154841018001</v>
      </c>
      <c r="G23" s="49">
        <v>0.99788845158982</v>
      </c>
      <c r="H23" s="49">
        <v>98368.5536010815</v>
      </c>
      <c r="I23" s="49">
        <v>207.70996296806</v>
      </c>
      <c r="J23" s="49">
        <v>491323.493097987</v>
      </c>
      <c r="K23" s="49">
        <v>6360885.7300347</v>
      </c>
      <c r="L23" s="49">
        <v>64.6638127447751</v>
      </c>
      <c r="P23" s="49">
        <v>15.0</v>
      </c>
      <c r="Q23" s="49">
        <v>5.0</v>
      </c>
      <c r="R23" s="49">
        <v>0.00102537220146836</v>
      </c>
      <c r="S23" s="49">
        <v>2.5</v>
      </c>
      <c r="T23" s="49">
        <v>0.00511375225881332</v>
      </c>
      <c r="U23" s="49">
        <v>0.994886247741187</v>
      </c>
      <c r="V23" s="49">
        <v>98139.3086242678</v>
      </c>
      <c r="W23" s="49">
        <v>501.860111155707</v>
      </c>
      <c r="X23" s="49">
        <v>489441.89284345</v>
      </c>
      <c r="Y23" s="49">
        <v>5786616.14764987</v>
      </c>
      <c r="Z23" s="49">
        <v>58.9632862587639</v>
      </c>
    </row>
    <row r="24">
      <c r="B24" s="49">
        <v>20.0</v>
      </c>
      <c r="C24" s="49">
        <v>5.0</v>
      </c>
      <c r="D24" s="49">
        <v>5.64010339115245E-4</v>
      </c>
      <c r="E24" s="49">
        <v>2.5</v>
      </c>
      <c r="F24" s="49">
        <v>0.00281608094864917</v>
      </c>
      <c r="G24" s="49">
        <v>0.997183919051351</v>
      </c>
      <c r="H24" s="49">
        <v>98160.8436381134</v>
      </c>
      <c r="I24" s="49">
        <v>276.428881672633</v>
      </c>
      <c r="J24" s="49">
        <v>490113.145986386</v>
      </c>
      <c r="K24" s="49">
        <v>5869562.23693672</v>
      </c>
      <c r="L24" s="49">
        <v>59.7953523970908</v>
      </c>
      <c r="P24" s="49">
        <v>20.0</v>
      </c>
      <c r="Q24" s="49">
        <v>5.0</v>
      </c>
      <c r="R24" s="49">
        <v>0.0021781227984794</v>
      </c>
      <c r="S24" s="49">
        <v>2.5</v>
      </c>
      <c r="T24" s="49">
        <v>0.0108316324285535</v>
      </c>
      <c r="U24" s="49">
        <v>0.989168367571446</v>
      </c>
      <c r="V24" s="49">
        <v>97637.4485131121</v>
      </c>
      <c r="W24" s="49">
        <v>1057.57295355586</v>
      </c>
      <c r="X24" s="49">
        <v>485543.310181671</v>
      </c>
      <c r="Y24" s="49">
        <v>5297174.25480642</v>
      </c>
      <c r="Z24" s="49">
        <v>54.2535096469163</v>
      </c>
    </row>
    <row r="25">
      <c r="B25" s="49">
        <v>25.0</v>
      </c>
      <c r="C25" s="49">
        <v>5.0</v>
      </c>
      <c r="D25" s="49">
        <v>7.77347002497918E-4</v>
      </c>
      <c r="E25" s="49">
        <v>2.5</v>
      </c>
      <c r="F25" s="49">
        <v>0.00387919630843344</v>
      </c>
      <c r="G25" s="49">
        <v>0.996120803691567</v>
      </c>
      <c r="H25" s="49">
        <v>97884.4147564408</v>
      </c>
      <c r="I25" s="49">
        <v>379.712860376341</v>
      </c>
      <c r="J25" s="49">
        <v>488472.791631263</v>
      </c>
      <c r="K25" s="49">
        <v>5379449.09095033</v>
      </c>
      <c r="L25" s="49">
        <v>54.957156400594</v>
      </c>
      <c r="P25" s="49">
        <v>25.0</v>
      </c>
      <c r="Q25" s="49">
        <v>5.0</v>
      </c>
      <c r="R25" s="49">
        <v>0.00306199342020622</v>
      </c>
      <c r="S25" s="49">
        <v>2.5</v>
      </c>
      <c r="T25" s="49">
        <v>0.0151936598845428</v>
      </c>
      <c r="U25" s="49">
        <v>0.984806340115457</v>
      </c>
      <c r="V25" s="49">
        <v>96579.8755595562</v>
      </c>
      <c r="W25" s="49">
        <v>1467.40178094336</v>
      </c>
      <c r="X25" s="49">
        <v>479230.873345423</v>
      </c>
      <c r="Y25" s="49">
        <v>4811630.94462475</v>
      </c>
      <c r="Z25" s="49">
        <v>49.8202230718101</v>
      </c>
    </row>
    <row r="26">
      <c r="B26" s="49">
        <v>30.0</v>
      </c>
      <c r="C26" s="49">
        <v>5.0</v>
      </c>
      <c r="D26" s="49">
        <v>0.00102234699311642</v>
      </c>
      <c r="E26" s="49">
        <v>2.5</v>
      </c>
      <c r="F26" s="49">
        <v>0.00509870335547143</v>
      </c>
      <c r="G26" s="49">
        <v>0.994901296644529</v>
      </c>
      <c r="H26" s="49">
        <v>97504.7018960644</v>
      </c>
      <c r="I26" s="49">
        <v>497.147550731708</v>
      </c>
      <c r="J26" s="49">
        <v>486280.640603493</v>
      </c>
      <c r="K26" s="49">
        <v>4890976.29931907</v>
      </c>
      <c r="L26" s="49">
        <v>50.1614404660467</v>
      </c>
      <c r="P26" s="49">
        <v>30.0</v>
      </c>
      <c r="Q26" s="49">
        <v>5.0</v>
      </c>
      <c r="R26" s="49">
        <v>0.00317662249612444</v>
      </c>
      <c r="S26" s="49">
        <v>2.5</v>
      </c>
      <c r="T26" s="49">
        <v>0.0157579696781898</v>
      </c>
      <c r="U26" s="49">
        <v>0.98424203032181</v>
      </c>
      <c r="V26" s="49">
        <v>95112.4737786129</v>
      </c>
      <c r="W26" s="49">
        <v>1498.77947782101</v>
      </c>
      <c r="X26" s="49">
        <v>471815.420198512</v>
      </c>
      <c r="Y26" s="49">
        <v>4332400.07127933</v>
      </c>
      <c r="Z26" s="49">
        <v>45.5502827248882</v>
      </c>
    </row>
    <row r="27">
      <c r="B27" s="49">
        <v>35.0</v>
      </c>
      <c r="C27" s="49">
        <v>5.0</v>
      </c>
      <c r="D27" s="49">
        <v>0.00124697425364923</v>
      </c>
      <c r="E27" s="49">
        <v>2.5</v>
      </c>
      <c r="F27" s="49">
        <v>0.0062154948630763</v>
      </c>
      <c r="G27" s="49">
        <v>0.993784505136924</v>
      </c>
      <c r="H27" s="49">
        <v>97007.5543453327</v>
      </c>
      <c r="I27" s="49">
        <v>602.949955713004</v>
      </c>
      <c r="J27" s="49">
        <v>483530.396837381</v>
      </c>
      <c r="K27" s="49">
        <v>4404695.65871557</v>
      </c>
      <c r="L27" s="49">
        <v>45.4056974061577</v>
      </c>
      <c r="P27" s="49">
        <v>35.0</v>
      </c>
      <c r="Q27" s="49">
        <v>5.0</v>
      </c>
      <c r="R27" s="49">
        <v>0.00357565766560635</v>
      </c>
      <c r="S27" s="49">
        <v>2.5</v>
      </c>
      <c r="T27" s="49">
        <v>0.0177198876973351</v>
      </c>
      <c r="U27" s="49">
        <v>0.982280112302665</v>
      </c>
      <c r="V27" s="49">
        <v>93613.6943007918</v>
      </c>
      <c r="W27" s="49">
        <v>1658.82414994269</v>
      </c>
      <c r="X27" s="49">
        <v>463921.411129103</v>
      </c>
      <c r="Y27" s="49">
        <v>3860584.65108082</v>
      </c>
      <c r="Z27" s="49">
        <v>41.2395288949532</v>
      </c>
    </row>
    <row r="28">
      <c r="B28" s="49">
        <v>40.0</v>
      </c>
      <c r="C28" s="49">
        <v>5.0</v>
      </c>
      <c r="D28" s="49">
        <v>0.00190788058748847</v>
      </c>
      <c r="E28" s="49">
        <v>2.5</v>
      </c>
      <c r="F28" s="49">
        <v>0.00949411882493881</v>
      </c>
      <c r="G28" s="49">
        <v>0.990505881175061</v>
      </c>
      <c r="H28" s="49">
        <v>96404.6043896197</v>
      </c>
      <c r="I28" s="49">
        <v>915.276769346267</v>
      </c>
      <c r="J28" s="49">
        <v>479734.830024733</v>
      </c>
      <c r="K28" s="49">
        <v>3921165.26187819</v>
      </c>
      <c r="L28" s="49">
        <v>40.6740454639571</v>
      </c>
      <c r="P28" s="49">
        <v>40.0</v>
      </c>
      <c r="Q28" s="49">
        <v>5.0</v>
      </c>
      <c r="R28" s="49">
        <v>0.00437417248129706</v>
      </c>
      <c r="S28" s="49">
        <v>2.5</v>
      </c>
      <c r="T28" s="49">
        <v>0.0216342822018356</v>
      </c>
      <c r="U28" s="49">
        <v>0.978365717798164</v>
      </c>
      <c r="V28" s="49">
        <v>91954.8701508492</v>
      </c>
      <c r="W28" s="49">
        <v>1989.37761067662</v>
      </c>
      <c r="X28" s="49">
        <v>454800.906727554</v>
      </c>
      <c r="Y28" s="49">
        <v>3396663.23995172</v>
      </c>
      <c r="Z28" s="49">
        <v>36.9383724252951</v>
      </c>
    </row>
    <row r="29">
      <c r="B29" s="49">
        <v>45.0</v>
      </c>
      <c r="C29" s="49">
        <v>5.0</v>
      </c>
      <c r="D29" s="49">
        <v>0.00319697793717755</v>
      </c>
      <c r="E29" s="49">
        <v>2.5</v>
      </c>
      <c r="F29" s="49">
        <v>0.0158581443419235</v>
      </c>
      <c r="G29" s="49">
        <v>0.984141855658077</v>
      </c>
      <c r="H29" s="49">
        <v>95489.3276202735</v>
      </c>
      <c r="I29" s="49">
        <v>1514.28354051552</v>
      </c>
      <c r="J29" s="49">
        <v>473660.929250079</v>
      </c>
      <c r="K29" s="49">
        <v>3441430.43185346</v>
      </c>
      <c r="L29" s="49">
        <v>36.0399483127453</v>
      </c>
      <c r="P29" s="49">
        <v>45.0</v>
      </c>
      <c r="Q29" s="49">
        <v>5.0</v>
      </c>
      <c r="R29" s="49">
        <v>0.00598461940179075</v>
      </c>
      <c r="S29" s="49">
        <v>2.5</v>
      </c>
      <c r="T29" s="49">
        <v>0.0294820006265703</v>
      </c>
      <c r="U29" s="49">
        <v>0.97051799937343</v>
      </c>
      <c r="V29" s="49">
        <v>89965.4925401725</v>
      </c>
      <c r="W29" s="49">
        <v>2652.36270743907</v>
      </c>
      <c r="X29" s="49">
        <v>443196.555932265</v>
      </c>
      <c r="Y29" s="49">
        <v>2941862.33322416</v>
      </c>
      <c r="Z29" s="49">
        <v>32.6998969289311</v>
      </c>
    </row>
    <row r="30">
      <c r="B30" s="49">
        <v>50.0</v>
      </c>
      <c r="C30" s="49">
        <v>5.0</v>
      </c>
      <c r="D30" s="49">
        <v>0.00435999295512808</v>
      </c>
      <c r="E30" s="49">
        <v>2.5</v>
      </c>
      <c r="F30" s="49">
        <v>0.0215649076619304</v>
      </c>
      <c r="G30" s="49">
        <v>0.97843509233807</v>
      </c>
      <c r="H30" s="49">
        <v>93975.044079758</v>
      </c>
      <c r="I30" s="49">
        <v>2026.56314810582</v>
      </c>
      <c r="J30" s="49">
        <v>464808.812528525</v>
      </c>
      <c r="K30" s="49">
        <v>2967769.50260338</v>
      </c>
      <c r="L30" s="49">
        <v>31.5804002186431</v>
      </c>
      <c r="P30" s="49">
        <v>50.0</v>
      </c>
      <c r="Q30" s="49">
        <v>5.0</v>
      </c>
      <c r="R30" s="49">
        <v>0.00809973866036588</v>
      </c>
      <c r="S30" s="49">
        <v>2.5</v>
      </c>
      <c r="T30" s="49">
        <v>0.0396948975608472</v>
      </c>
      <c r="U30" s="49">
        <v>0.960305102439153</v>
      </c>
      <c r="V30" s="49">
        <v>87313.1298327335</v>
      </c>
      <c r="W30" s="49">
        <v>3465.88574442732</v>
      </c>
      <c r="X30" s="49">
        <v>427900.934802599</v>
      </c>
      <c r="Y30" s="49">
        <v>2498665.7772919</v>
      </c>
      <c r="Z30" s="49">
        <v>28.617297101577</v>
      </c>
    </row>
    <row r="31">
      <c r="B31" s="49">
        <v>55.0</v>
      </c>
      <c r="C31" s="49">
        <v>5.0</v>
      </c>
      <c r="D31" s="49">
        <v>0.00753231514600958</v>
      </c>
      <c r="E31" s="49">
        <v>2.5</v>
      </c>
      <c r="F31" s="49">
        <v>0.0369654864955233</v>
      </c>
      <c r="G31" s="49">
        <v>0.963034513504477</v>
      </c>
      <c r="H31" s="49">
        <v>91948.4809316521</v>
      </c>
      <c r="I31" s="49">
        <v>3398.92033016286</v>
      </c>
      <c r="J31" s="49">
        <v>451245.103832853</v>
      </c>
      <c r="K31" s="49">
        <v>2502960.69007486</v>
      </c>
      <c r="L31" s="49">
        <v>27.2213381310277</v>
      </c>
      <c r="P31" s="49">
        <v>55.0</v>
      </c>
      <c r="Q31" s="49">
        <v>5.0</v>
      </c>
      <c r="R31" s="49">
        <v>0.0117955161134702</v>
      </c>
      <c r="S31" s="49">
        <v>2.5</v>
      </c>
      <c r="T31" s="49">
        <v>0.0572882202545399</v>
      </c>
      <c r="U31" s="49">
        <v>0.94271177974546</v>
      </c>
      <c r="V31" s="49">
        <v>83847.2440883061</v>
      </c>
      <c r="W31" s="49">
        <v>4803.45938706705</v>
      </c>
      <c r="X31" s="49">
        <v>407227.571973863</v>
      </c>
      <c r="Y31" s="49">
        <v>2070764.8424893</v>
      </c>
      <c r="Z31" s="49">
        <v>24.6968742384474</v>
      </c>
    </row>
    <row r="32">
      <c r="B32" s="49">
        <v>60.0</v>
      </c>
      <c r="C32" s="49">
        <v>5.0</v>
      </c>
      <c r="D32" s="49">
        <v>0.0114627031532157</v>
      </c>
      <c r="E32" s="49">
        <v>2.5</v>
      </c>
      <c r="F32" s="49">
        <v>0.0557168514442359</v>
      </c>
      <c r="G32" s="49">
        <v>0.944283148555764</v>
      </c>
      <c r="H32" s="49">
        <v>88549.5606014893</v>
      </c>
      <c r="I32" s="49">
        <v>4933.70271348555</v>
      </c>
      <c r="J32" s="49">
        <v>430413.546223732</v>
      </c>
      <c r="K32" s="49">
        <v>2051715.586242</v>
      </c>
      <c r="L32" s="49">
        <v>23.1702514648898</v>
      </c>
      <c r="P32" s="49">
        <v>60.0</v>
      </c>
      <c r="Q32" s="49">
        <v>5.0</v>
      </c>
      <c r="R32" s="49">
        <v>0.0169197396963124</v>
      </c>
      <c r="S32" s="49">
        <v>2.5</v>
      </c>
      <c r="T32" s="49">
        <v>0.081165452653486</v>
      </c>
      <c r="U32" s="49">
        <v>0.918834547346514</v>
      </c>
      <c r="V32" s="49">
        <v>79043.7847012391</v>
      </c>
      <c r="W32" s="49">
        <v>6415.62456472075</v>
      </c>
      <c r="X32" s="49">
        <v>379179.862094394</v>
      </c>
      <c r="Y32" s="49">
        <v>1663537.27051543</v>
      </c>
      <c r="Z32" s="49">
        <v>21.0457694656587</v>
      </c>
    </row>
    <row r="33">
      <c r="B33" s="49">
        <v>65.0</v>
      </c>
      <c r="C33" s="49">
        <v>5.0</v>
      </c>
      <c r="D33" s="49">
        <v>0.0166677075310004</v>
      </c>
      <c r="E33" s="49">
        <v>2.5</v>
      </c>
      <c r="F33" s="49">
        <v>0.0800047962908684</v>
      </c>
      <c r="G33" s="49">
        <v>0.919995203709132</v>
      </c>
      <c r="H33" s="49">
        <v>83615.8578880037</v>
      </c>
      <c r="I33" s="49">
        <v>6689.66967701593</v>
      </c>
      <c r="J33" s="49">
        <v>401355.115247479</v>
      </c>
      <c r="K33" s="49">
        <v>1621302.04001827</v>
      </c>
      <c r="L33" s="49">
        <v>19.3898870497731</v>
      </c>
      <c r="P33" s="49">
        <v>65.0</v>
      </c>
      <c r="Q33" s="49">
        <v>5.0</v>
      </c>
      <c r="R33" s="49">
        <v>0.0221809715580166</v>
      </c>
      <c r="S33" s="49">
        <v>2.5</v>
      </c>
      <c r="T33" s="49">
        <v>0.105078026023579</v>
      </c>
      <c r="U33" s="49">
        <v>0.894921973976421</v>
      </c>
      <c r="V33" s="49">
        <v>72628.1601365183</v>
      </c>
      <c r="W33" s="49">
        <v>7631.62370086976</v>
      </c>
      <c r="X33" s="49">
        <v>344061.741430417</v>
      </c>
      <c r="Y33" s="49">
        <v>1284357.40842104</v>
      </c>
      <c r="Z33" s="49">
        <v>17.6840141070192</v>
      </c>
    </row>
    <row r="34">
      <c r="B34" s="49">
        <v>70.0</v>
      </c>
      <c r="C34" s="49">
        <v>5.0</v>
      </c>
      <c r="D34" s="49">
        <v>0.0250238614993527</v>
      </c>
      <c r="E34" s="49">
        <v>2.5</v>
      </c>
      <c r="F34" s="49">
        <v>0.117752737039639</v>
      </c>
      <c r="G34" s="49">
        <v>0.882247262960361</v>
      </c>
      <c r="H34" s="49">
        <v>76926.1882109878</v>
      </c>
      <c r="I34" s="49">
        <v>9058.26921187025</v>
      </c>
      <c r="J34" s="49">
        <v>361985.268025263</v>
      </c>
      <c r="K34" s="49">
        <v>1219946.92477079</v>
      </c>
      <c r="L34" s="49">
        <v>15.85866859053</v>
      </c>
      <c r="P34" s="49">
        <v>70.0</v>
      </c>
      <c r="Q34" s="49">
        <v>5.0</v>
      </c>
      <c r="R34" s="49">
        <v>0.0328665058389018</v>
      </c>
      <c r="S34" s="49">
        <v>2.5</v>
      </c>
      <c r="T34" s="49">
        <v>0.151855158094092</v>
      </c>
      <c r="U34" s="49">
        <v>0.848144841905908</v>
      </c>
      <c r="V34" s="49">
        <v>64996.5364356486</v>
      </c>
      <c r="W34" s="49">
        <v>9870.05931600383</v>
      </c>
      <c r="X34" s="49">
        <v>300307.533888233</v>
      </c>
      <c r="Y34" s="49">
        <v>940295.666990624</v>
      </c>
      <c r="Z34" s="49">
        <v>14.4668580597612</v>
      </c>
    </row>
    <row r="35">
      <c r="B35" s="49">
        <v>75.0</v>
      </c>
      <c r="C35" s="49">
        <v>5.0</v>
      </c>
      <c r="D35" s="49">
        <v>0.0394770229303276</v>
      </c>
      <c r="E35" s="49">
        <v>2.5</v>
      </c>
      <c r="F35" s="49">
        <v>0.179654547885595</v>
      </c>
      <c r="G35" s="49">
        <v>0.820345452114405</v>
      </c>
      <c r="H35" s="49">
        <v>67867.9189991175</v>
      </c>
      <c r="I35" s="49">
        <v>12192.7803037226</v>
      </c>
      <c r="J35" s="49">
        <v>308857.644236281</v>
      </c>
      <c r="K35" s="49">
        <v>857961.656745529</v>
      </c>
      <c r="L35" s="49">
        <v>12.6416378960534</v>
      </c>
      <c r="P35" s="49">
        <v>75.0</v>
      </c>
      <c r="Q35" s="49">
        <v>5.0</v>
      </c>
      <c r="R35" s="49">
        <v>0.0496819461617531</v>
      </c>
      <c r="S35" s="49">
        <v>2.5</v>
      </c>
      <c r="T35" s="49">
        <v>0.220964824520139</v>
      </c>
      <c r="U35" s="49">
        <v>0.779035175479861</v>
      </c>
      <c r="V35" s="49">
        <v>55126.4771196448</v>
      </c>
      <c r="W35" s="49">
        <v>12181.0123431557</v>
      </c>
      <c r="X35" s="49">
        <v>245179.854740334</v>
      </c>
      <c r="Y35" s="49">
        <v>639988.133102391</v>
      </c>
      <c r="Z35" s="49">
        <v>11.6094509669715</v>
      </c>
    </row>
    <row r="36">
      <c r="B36" s="49">
        <v>80.0</v>
      </c>
      <c r="C36" s="49">
        <v>5.0</v>
      </c>
      <c r="D36" s="49">
        <v>0.0665061097183015</v>
      </c>
      <c r="E36" s="49">
        <v>2.5</v>
      </c>
      <c r="F36" s="49">
        <v>0.285124281688234</v>
      </c>
      <c r="G36" s="49">
        <v>0.714875718311766</v>
      </c>
      <c r="H36" s="49">
        <v>55675.1386953949</v>
      </c>
      <c r="I36" s="49">
        <v>15874.3339284173</v>
      </c>
      <c r="J36" s="49">
        <v>238689.858655931</v>
      </c>
      <c r="K36" s="49">
        <v>549104.012509247</v>
      </c>
      <c r="L36" s="49">
        <v>9.86264292063031</v>
      </c>
      <c r="P36" s="49">
        <v>80.0</v>
      </c>
      <c r="Q36" s="49">
        <v>5.0</v>
      </c>
      <c r="R36" s="49">
        <v>0.0788165567345378</v>
      </c>
      <c r="S36" s="49">
        <v>2.5</v>
      </c>
      <c r="T36" s="49">
        <v>0.329213999081635</v>
      </c>
      <c r="U36" s="49">
        <v>0.670786000918365</v>
      </c>
      <c r="V36" s="49">
        <v>42945.464776489</v>
      </c>
      <c r="W36" s="49">
        <v>14138.2482014874</v>
      </c>
      <c r="X36" s="49">
        <v>179381.703378727</v>
      </c>
      <c r="Y36" s="49">
        <v>394808.278362056</v>
      </c>
      <c r="Z36" s="49">
        <v>9.19324730601585</v>
      </c>
    </row>
    <row r="37">
      <c r="B37" s="49">
        <v>85.0</v>
      </c>
      <c r="C37" s="4"/>
      <c r="D37" s="49">
        <v>0.128218395562547</v>
      </c>
      <c r="E37" s="4"/>
      <c r="F37" s="49">
        <v>1.0</v>
      </c>
      <c r="G37" s="49">
        <v>0.0</v>
      </c>
      <c r="H37" s="49">
        <v>39800.8047669777</v>
      </c>
      <c r="I37" s="49">
        <v>39800.8047669777</v>
      </c>
      <c r="J37" s="49">
        <v>310414.153853316</v>
      </c>
      <c r="K37" s="49">
        <v>310414.153853316</v>
      </c>
      <c r="L37" s="49">
        <v>7.79919289749798</v>
      </c>
      <c r="P37" s="49">
        <v>85.0</v>
      </c>
      <c r="Q37" s="4"/>
      <c r="R37" s="49">
        <v>0.133721740584841</v>
      </c>
      <c r="S37" s="4"/>
      <c r="T37" s="49">
        <v>1.0</v>
      </c>
      <c r="U37" s="49">
        <v>0.0</v>
      </c>
      <c r="V37" s="49">
        <v>28807.2165750016</v>
      </c>
      <c r="W37" s="49">
        <v>28807.2165750016</v>
      </c>
      <c r="X37" s="49">
        <v>215426.57498333</v>
      </c>
      <c r="Y37" s="49">
        <v>215426.57498333</v>
      </c>
      <c r="Z37" s="49">
        <v>7.47821555138628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5.71"/>
    <col customWidth="1" min="12" max="12" width="25.71"/>
    <col customWidth="1" min="13" max="13" width="17.57"/>
    <col customWidth="1" min="14" max="14" width="18.43"/>
    <col customWidth="1" min="15" max="15" width="23.14"/>
    <col customWidth="1" min="18" max="18" width="20.14"/>
  </cols>
  <sheetData>
    <row r="1">
      <c r="G1" s="7" t="s">
        <v>290</v>
      </c>
      <c r="N1" s="7" t="s">
        <v>295</v>
      </c>
    </row>
    <row r="2">
      <c r="N2" s="7">
        <v>0.4925</v>
      </c>
    </row>
    <row r="3">
      <c r="A3" s="50" t="s">
        <v>319</v>
      </c>
      <c r="D3" s="51"/>
      <c r="G3" s="52" t="s">
        <v>292</v>
      </c>
      <c r="H3" s="52" t="s">
        <v>320</v>
      </c>
      <c r="I3" s="52" t="s">
        <v>316</v>
      </c>
      <c r="J3" s="52" t="s">
        <v>321</v>
      </c>
      <c r="K3" s="52" t="s">
        <v>322</v>
      </c>
      <c r="L3" s="53" t="s">
        <v>323</v>
      </c>
      <c r="M3" s="52" t="s">
        <v>324</v>
      </c>
      <c r="N3" s="52" t="s">
        <v>325</v>
      </c>
      <c r="O3" s="52" t="s">
        <v>326</v>
      </c>
      <c r="P3" s="52" t="s">
        <v>327</v>
      </c>
      <c r="Q3" s="52" t="s">
        <v>328</v>
      </c>
      <c r="R3" s="52" t="s">
        <v>329</v>
      </c>
    </row>
    <row r="4">
      <c r="A4" s="54" t="s">
        <v>330</v>
      </c>
      <c r="B4" s="55"/>
      <c r="C4" s="55"/>
      <c r="D4" s="56"/>
      <c r="G4" s="57" t="s">
        <v>155</v>
      </c>
      <c r="H4" s="57">
        <v>17.5</v>
      </c>
      <c r="I4" s="58">
        <v>15.0</v>
      </c>
      <c r="J4" s="58">
        <v>19.0</v>
      </c>
      <c r="K4" s="59">
        <f>'Nacimientos y tablas de vida,Me'!C6</f>
        <v>315681.1567</v>
      </c>
      <c r="L4" s="60">
        <f>'Nacimientos y tablas de vida,Me'!D6</f>
        <v>5363130.507</v>
      </c>
      <c r="M4" s="61">
        <f t="shared" ref="M4:M10" si="1">K4/L4</f>
        <v>0.05886136022</v>
      </c>
      <c r="N4" s="58">
        <f t="shared" ref="N4:N10" si="2">M4/$M$11</f>
        <v>0.1531017723</v>
      </c>
      <c r="O4" s="58">
        <f>M4*N2</f>
        <v>0.02898921991</v>
      </c>
      <c r="P4" s="58">
        <f>'Nacimientos y tablas de vida,Me'!X19</f>
        <v>491670</v>
      </c>
      <c r="Q4" s="58">
        <f t="shared" ref="Q4:Q10" si="3">P4/(5*100000)</f>
        <v>0.98334</v>
      </c>
      <c r="R4" s="58">
        <f t="shared" ref="R4:R10" si="4">Q4*O4</f>
        <v>0.02850625951</v>
      </c>
    </row>
    <row r="5">
      <c r="A5" s="62" t="s">
        <v>331</v>
      </c>
      <c r="B5" s="62" t="s">
        <v>332</v>
      </c>
      <c r="C5" s="62" t="s">
        <v>333</v>
      </c>
      <c r="D5" s="62" t="s">
        <v>334</v>
      </c>
      <c r="G5" s="57" t="s">
        <v>162</v>
      </c>
      <c r="H5" s="57">
        <v>22.5</v>
      </c>
      <c r="I5" s="58">
        <v>20.0</v>
      </c>
      <c r="J5" s="58">
        <v>24.0</v>
      </c>
      <c r="K5" s="59">
        <f>'Nacimientos y tablas de vida,Me'!C7</f>
        <v>545329.5749</v>
      </c>
      <c r="L5" s="60">
        <f>'Nacimientos y tablas de vida,Me'!D7</f>
        <v>5235228.551</v>
      </c>
      <c r="M5" s="61">
        <f t="shared" si="1"/>
        <v>0.1041653807</v>
      </c>
      <c r="N5" s="58">
        <f t="shared" si="2"/>
        <v>0.2709401268</v>
      </c>
      <c r="O5" s="58">
        <f t="shared" ref="O5:O10" si="5">M5*$N$2</f>
        <v>0.05130144999</v>
      </c>
      <c r="P5" s="58">
        <f>'Nacimientos y tablas de vida,Me'!X20</f>
        <v>490356</v>
      </c>
      <c r="Q5" s="58">
        <f t="shared" si="3"/>
        <v>0.980712</v>
      </c>
      <c r="R5" s="58">
        <f t="shared" si="4"/>
        <v>0.05031194762</v>
      </c>
    </row>
    <row r="6">
      <c r="A6" s="57" t="s">
        <v>335</v>
      </c>
      <c r="B6" s="63">
        <f>'Nacimientos y tablas de vida,Me'!C5</f>
        <v>1942234</v>
      </c>
      <c r="C6" s="57">
        <f>Mexico!H37</f>
        <v>112336538</v>
      </c>
      <c r="D6" s="64">
        <f t="shared" ref="D6:D7" si="6">B6/C6*1000</f>
        <v>17.28942368</v>
      </c>
      <c r="G6" s="57" t="s">
        <v>163</v>
      </c>
      <c r="H6" s="57">
        <v>27.5</v>
      </c>
      <c r="I6" s="58">
        <v>25.0</v>
      </c>
      <c r="J6" s="58">
        <v>29.0</v>
      </c>
      <c r="K6" s="59">
        <f>'Nacimientos y tablas de vida,Me'!C8</f>
        <v>511967.3929</v>
      </c>
      <c r="L6" s="60">
        <f>'Nacimientos y tablas de vida,Me'!D8</f>
        <v>5064244.93</v>
      </c>
      <c r="M6" s="61">
        <f t="shared" si="1"/>
        <v>0.1010945166</v>
      </c>
      <c r="N6" s="58">
        <f t="shared" si="2"/>
        <v>0.2629526331</v>
      </c>
      <c r="O6" s="58">
        <f t="shared" si="5"/>
        <v>0.0497890494</v>
      </c>
      <c r="P6" s="58">
        <f>'Nacimientos y tablas de vida,Me'!X21</f>
        <v>488709</v>
      </c>
      <c r="Q6" s="58">
        <f t="shared" si="3"/>
        <v>0.977418</v>
      </c>
      <c r="R6" s="58">
        <f t="shared" si="4"/>
        <v>0.04866471309</v>
      </c>
    </row>
    <row r="7">
      <c r="A7" s="57" t="s">
        <v>312</v>
      </c>
      <c r="B7" s="65">
        <f>'Nacimientos y tablas de vida, V'!C5</f>
        <v>109107</v>
      </c>
      <c r="C7" s="57">
        <f>Veracruz!H37</f>
        <v>7643194</v>
      </c>
      <c r="D7" s="64">
        <f t="shared" si="6"/>
        <v>14.27505307</v>
      </c>
      <c r="G7" s="57" t="s">
        <v>164</v>
      </c>
      <c r="H7" s="57">
        <v>32.5</v>
      </c>
      <c r="I7" s="58">
        <v>30.0</v>
      </c>
      <c r="J7" s="58">
        <v>34.0</v>
      </c>
      <c r="K7" s="59">
        <f>'Nacimientos y tablas de vida,Me'!C9</f>
        <v>347637.0441</v>
      </c>
      <c r="L7" s="60">
        <f>'Nacimientos y tablas de vida,Me'!D9</f>
        <v>4838544.74</v>
      </c>
      <c r="M7" s="61">
        <f t="shared" si="1"/>
        <v>0.07184743819</v>
      </c>
      <c r="N7" s="58">
        <f t="shared" si="2"/>
        <v>0.1868793056</v>
      </c>
      <c r="O7" s="58">
        <f t="shared" si="5"/>
        <v>0.03538486331</v>
      </c>
      <c r="P7" s="58">
        <f>'Nacimientos y tablas de vida,Me'!X22</f>
        <v>486724</v>
      </c>
      <c r="Q7" s="58">
        <f t="shared" si="3"/>
        <v>0.973448</v>
      </c>
      <c r="R7" s="58">
        <f t="shared" si="4"/>
        <v>0.03444532442</v>
      </c>
    </row>
    <row r="8">
      <c r="G8" s="57" t="s">
        <v>165</v>
      </c>
      <c r="H8" s="57">
        <v>37.5</v>
      </c>
      <c r="I8" s="58">
        <v>35.0</v>
      </c>
      <c r="J8" s="58">
        <v>39.0</v>
      </c>
      <c r="K8" s="59">
        <f>'Nacimientos y tablas de vida,Me'!C10</f>
        <v>174294.2253</v>
      </c>
      <c r="L8" s="60">
        <f>'Nacimientos y tablas de vida,Me'!D10</f>
        <v>4645184.019</v>
      </c>
      <c r="M8" s="61">
        <f t="shared" si="1"/>
        <v>0.03752148992</v>
      </c>
      <c r="N8" s="58">
        <f t="shared" si="2"/>
        <v>0.09759554631</v>
      </c>
      <c r="O8" s="58">
        <f t="shared" si="5"/>
        <v>0.01847933379</v>
      </c>
      <c r="P8" s="58">
        <f>'Nacimientos y tablas de vida,Me'!X23</f>
        <v>484204</v>
      </c>
      <c r="Q8" s="58">
        <f t="shared" si="3"/>
        <v>0.968408</v>
      </c>
      <c r="R8" s="58">
        <f t="shared" si="4"/>
        <v>0.01789553467</v>
      </c>
    </row>
    <row r="9">
      <c r="A9" s="50" t="s">
        <v>336</v>
      </c>
      <c r="B9" s="51"/>
      <c r="C9" s="51"/>
      <c r="D9" s="51"/>
      <c r="E9" s="51"/>
      <c r="F9" s="51"/>
      <c r="G9" s="57" t="s">
        <v>166</v>
      </c>
      <c r="H9" s="57">
        <v>42.5</v>
      </c>
      <c r="I9" s="58">
        <v>40.0</v>
      </c>
      <c r="J9" s="58">
        <v>44.0</v>
      </c>
      <c r="K9" s="59">
        <f>'Nacimientos y tablas de vida,Me'!C11</f>
        <v>43848.97685</v>
      </c>
      <c r="L9" s="60">
        <f>'Nacimientos y tablas de vida,Me'!D11</f>
        <v>4341995.402</v>
      </c>
      <c r="M9" s="61">
        <f t="shared" si="1"/>
        <v>0.01009880776</v>
      </c>
      <c r="N9" s="58">
        <f t="shared" si="2"/>
        <v>0.02626757792</v>
      </c>
      <c r="O9" s="58">
        <f t="shared" si="5"/>
        <v>0.00497366282</v>
      </c>
      <c r="P9" s="58">
        <f>'Nacimientos y tablas de vida,Me'!X24</f>
        <v>480646</v>
      </c>
      <c r="Q9" s="58">
        <f t="shared" si="3"/>
        <v>0.961292</v>
      </c>
      <c r="R9" s="58">
        <f t="shared" si="4"/>
        <v>0.00478114228</v>
      </c>
    </row>
    <row r="10">
      <c r="A10" s="54" t="s">
        <v>337</v>
      </c>
      <c r="B10" s="55"/>
      <c r="C10" s="55"/>
      <c r="D10" s="56"/>
      <c r="E10" s="51"/>
      <c r="F10" s="51"/>
      <c r="G10" s="57" t="s">
        <v>167</v>
      </c>
      <c r="H10" s="57">
        <v>47.5</v>
      </c>
      <c r="I10" s="58">
        <v>45.0</v>
      </c>
      <c r="J10" s="58">
        <v>49.0</v>
      </c>
      <c r="K10" s="59">
        <f>'Nacimientos y tablas de vida,Me'!C12</f>
        <v>3475.629217</v>
      </c>
      <c r="L10" s="60">
        <f>'Nacimientos y tablas de vida,Me'!D12</f>
        <v>3994767.675</v>
      </c>
      <c r="M10" s="61">
        <f t="shared" si="1"/>
        <v>0.0008700453945</v>
      </c>
      <c r="N10" s="58">
        <f t="shared" si="2"/>
        <v>0.002263037949</v>
      </c>
      <c r="O10" s="58">
        <f t="shared" si="5"/>
        <v>0.0004284973568</v>
      </c>
      <c r="P10" s="58">
        <f>'Nacimientos y tablas de vida,Me'!X25</f>
        <v>475296</v>
      </c>
      <c r="Q10" s="58">
        <f t="shared" si="3"/>
        <v>0.950592</v>
      </c>
      <c r="R10" s="58">
        <f t="shared" si="4"/>
        <v>0.0004073261594</v>
      </c>
    </row>
    <row r="11">
      <c r="A11" s="62" t="s">
        <v>338</v>
      </c>
      <c r="B11" s="37" t="s">
        <v>339</v>
      </c>
      <c r="C11" s="37" t="s">
        <v>333</v>
      </c>
      <c r="D11" s="37" t="s">
        <v>340</v>
      </c>
      <c r="E11" s="66"/>
      <c r="F11" s="51"/>
      <c r="G11" s="67" t="s">
        <v>6</v>
      </c>
      <c r="H11" s="68"/>
      <c r="I11" s="68"/>
      <c r="J11" s="68"/>
      <c r="K11" s="69"/>
      <c r="L11" s="70"/>
      <c r="M11" s="71">
        <f>SUM(M4:M10)</f>
        <v>0.3844590387</v>
      </c>
      <c r="N11" s="72"/>
      <c r="O11" s="72"/>
      <c r="P11" s="72"/>
      <c r="Q11" s="72"/>
      <c r="R11" s="73">
        <f>SUM(R4:R10)</f>
        <v>0.1850122477</v>
      </c>
    </row>
    <row r="12">
      <c r="A12" s="57" t="s">
        <v>335</v>
      </c>
      <c r="B12" s="74">
        <f>SUM(Mexico!P11:P17)</f>
        <v>33540073.19</v>
      </c>
      <c r="C12" s="57">
        <f>Mexico!H37</f>
        <v>112336538</v>
      </c>
      <c r="D12" s="64">
        <f t="shared" ref="D12:D13" si="7">B12/C12</f>
        <v>0.2985678016</v>
      </c>
      <c r="E12" s="51"/>
      <c r="F12" s="51"/>
      <c r="G12" s="75"/>
      <c r="H12" s="75"/>
      <c r="I12" s="75"/>
      <c r="J12" s="66"/>
      <c r="K12" s="75"/>
      <c r="L12" s="76" t="s">
        <v>341</v>
      </c>
      <c r="M12" s="77">
        <f>M11*5</f>
        <v>1.922295194</v>
      </c>
      <c r="N12" s="78"/>
      <c r="O12" s="79"/>
      <c r="P12" s="79"/>
      <c r="Q12" s="79"/>
      <c r="R12" s="79"/>
    </row>
    <row r="13">
      <c r="A13" s="57" t="s">
        <v>312</v>
      </c>
      <c r="B13" s="63">
        <f>SUM(Veracruz!P11:P17)</f>
        <v>2118628.718</v>
      </c>
      <c r="C13" s="57">
        <f>Veracruz!H37</f>
        <v>7643194</v>
      </c>
      <c r="D13" s="64">
        <f t="shared" si="7"/>
        <v>0.2771915403</v>
      </c>
      <c r="E13" s="51"/>
      <c r="F13" s="51"/>
      <c r="G13" s="79"/>
      <c r="H13" s="79"/>
      <c r="I13" s="79"/>
      <c r="J13" s="79"/>
      <c r="K13" s="79"/>
      <c r="L13" s="80" t="s">
        <v>342</v>
      </c>
      <c r="M13" s="79"/>
      <c r="N13" s="81"/>
      <c r="O13" s="82">
        <f>M12*N2</f>
        <v>0.9467303828</v>
      </c>
      <c r="P13" s="79"/>
      <c r="Q13" s="83" t="s">
        <v>343</v>
      </c>
      <c r="R13" s="82">
        <f>M12*'Nacimientos y tablas de vida,Me'!H8</f>
        <v>0.9445665816</v>
      </c>
    </row>
    <row r="14">
      <c r="G14" s="51"/>
      <c r="H14" s="84" t="s">
        <v>335</v>
      </c>
      <c r="I14" s="84" t="s">
        <v>312</v>
      </c>
      <c r="J14" s="79"/>
      <c r="K14" s="79"/>
      <c r="L14" s="80" t="s">
        <v>344</v>
      </c>
      <c r="M14" s="85"/>
      <c r="N14" s="85"/>
      <c r="O14" s="85"/>
      <c r="P14" s="85"/>
      <c r="Q14" s="85"/>
      <c r="R14" s="86">
        <f>R11*5</f>
        <v>0.9250612387</v>
      </c>
    </row>
    <row r="15">
      <c r="A15" s="50" t="s">
        <v>345</v>
      </c>
      <c r="B15" s="51"/>
      <c r="C15" s="51"/>
      <c r="D15" s="51"/>
      <c r="G15" s="84" t="s">
        <v>342</v>
      </c>
      <c r="H15" s="87">
        <f>O13</f>
        <v>0.9467303828</v>
      </c>
      <c r="I15" s="87">
        <f>O32</f>
        <v>0.8620304913</v>
      </c>
    </row>
    <row r="16">
      <c r="A16" s="54" t="s">
        <v>346</v>
      </c>
      <c r="B16" s="55"/>
      <c r="C16" s="55"/>
      <c r="D16" s="56"/>
      <c r="G16" s="84" t="s">
        <v>344</v>
      </c>
      <c r="H16" s="87">
        <f>R14</f>
        <v>0.9250612387</v>
      </c>
      <c r="I16" s="87">
        <f>R33</f>
        <v>0.1687031381</v>
      </c>
    </row>
    <row r="17">
      <c r="A17" s="62" t="s">
        <v>338</v>
      </c>
      <c r="B17" s="62" t="s">
        <v>332</v>
      </c>
      <c r="C17" s="62" t="s">
        <v>339</v>
      </c>
      <c r="D17" s="62" t="s">
        <v>347</v>
      </c>
      <c r="G17" s="84" t="s">
        <v>348</v>
      </c>
      <c r="H17" s="87">
        <f t="shared" ref="H17:I17" si="8">H15-H16</f>
        <v>0.02166914413</v>
      </c>
      <c r="I17" s="87">
        <f t="shared" si="8"/>
        <v>0.6933273532</v>
      </c>
    </row>
    <row r="18">
      <c r="A18" s="57" t="s">
        <v>335</v>
      </c>
      <c r="B18" s="63">
        <f t="shared" ref="B18:B19" si="9">B6</f>
        <v>1942234</v>
      </c>
      <c r="C18" s="74">
        <f t="shared" ref="C18:C19" si="10">B12</f>
        <v>33540073.19</v>
      </c>
      <c r="D18" s="64">
        <f t="shared" ref="D18:D19" si="11">B18/C18*1000</f>
        <v>57.9078641</v>
      </c>
    </row>
    <row r="19">
      <c r="A19" s="57" t="s">
        <v>312</v>
      </c>
      <c r="B19" s="65">
        <f t="shared" si="9"/>
        <v>109107</v>
      </c>
      <c r="C19" s="63">
        <f t="shared" si="10"/>
        <v>2118628.718</v>
      </c>
      <c r="D19" s="64">
        <f t="shared" si="11"/>
        <v>51.49887712</v>
      </c>
    </row>
    <row r="20">
      <c r="G20" s="7" t="s">
        <v>312</v>
      </c>
    </row>
    <row r="22">
      <c r="G22" s="52" t="s">
        <v>292</v>
      </c>
      <c r="H22" s="52" t="s">
        <v>320</v>
      </c>
      <c r="I22" s="52" t="s">
        <v>316</v>
      </c>
      <c r="J22" s="52" t="s">
        <v>321</v>
      </c>
      <c r="K22" s="52" t="s">
        <v>322</v>
      </c>
      <c r="L22" s="53" t="s">
        <v>349</v>
      </c>
      <c r="M22" s="52" t="s">
        <v>324</v>
      </c>
      <c r="N22" s="52" t="s">
        <v>325</v>
      </c>
      <c r="O22" s="52" t="s">
        <v>326</v>
      </c>
      <c r="P22" s="52" t="s">
        <v>327</v>
      </c>
      <c r="Q22" s="52" t="s">
        <v>328</v>
      </c>
      <c r="R22" s="52" t="s">
        <v>329</v>
      </c>
    </row>
    <row r="23">
      <c r="G23" s="57" t="s">
        <v>155</v>
      </c>
      <c r="H23" s="57">
        <v>17.5</v>
      </c>
      <c r="I23" s="58">
        <v>15.0</v>
      </c>
      <c r="J23" s="58">
        <v>19.0</v>
      </c>
      <c r="K23" s="88">
        <f>'Nacimientos y tablas de vida, V'!C6</f>
        <v>19130.01955</v>
      </c>
      <c r="L23" s="89">
        <f>'Nacimientos y tablas de vida, V'!D6</f>
        <v>341902.1584</v>
      </c>
      <c r="M23" s="61">
        <f t="shared" ref="M23:M29" si="12">K23/L23</f>
        <v>0.05595173671</v>
      </c>
      <c r="N23" s="58">
        <f t="shared" ref="N23:N29" si="13">M23/$M$30</f>
        <v>0.1598332693</v>
      </c>
      <c r="O23" s="58">
        <f>M23*N2</f>
        <v>0.02755623033</v>
      </c>
      <c r="P23" s="58">
        <f>'Nacimientos y tablas de vida, V'!H23</f>
        <v>98368.5536</v>
      </c>
      <c r="Q23" s="58">
        <f t="shared" ref="Q23:Q29" si="14">P23/(5*100000)</f>
        <v>0.1967371072</v>
      </c>
      <c r="R23" s="58">
        <f t="shared" ref="R23:R29" si="15">Q23*O23</f>
        <v>0.005421333041</v>
      </c>
    </row>
    <row r="24">
      <c r="G24" s="57" t="s">
        <v>162</v>
      </c>
      <c r="H24" s="57">
        <v>22.5</v>
      </c>
      <c r="I24" s="58">
        <v>20.0</v>
      </c>
      <c r="J24" s="58">
        <v>24.0</v>
      </c>
      <c r="K24" s="88">
        <f>'Nacimientos y tablas de vida, V'!C7</f>
        <v>30279.29911</v>
      </c>
      <c r="L24" s="89">
        <f>'Nacimientos y tablas de vida, V'!D7</f>
        <v>311014.9302</v>
      </c>
      <c r="M24" s="61">
        <f t="shared" si="12"/>
        <v>0.09735641659</v>
      </c>
      <c r="N24" s="58">
        <f t="shared" si="13"/>
        <v>0.2781110161</v>
      </c>
      <c r="O24" s="58">
        <f t="shared" ref="O24:O29" si="16">M24*$N$2</f>
        <v>0.04794803517</v>
      </c>
      <c r="P24" s="58">
        <f>'Nacimientos y tablas de vida, V'!H24</f>
        <v>98160.84364</v>
      </c>
      <c r="Q24" s="58">
        <f t="shared" si="14"/>
        <v>0.1963216873</v>
      </c>
      <c r="R24" s="58">
        <f t="shared" si="15"/>
        <v>0.009413239167</v>
      </c>
    </row>
    <row r="25">
      <c r="A25" s="7" t="s">
        <v>290</v>
      </c>
      <c r="G25" s="57" t="s">
        <v>163</v>
      </c>
      <c r="H25" s="57">
        <v>27.5</v>
      </c>
      <c r="I25" s="58">
        <v>25.0</v>
      </c>
      <c r="J25" s="58">
        <v>29.0</v>
      </c>
      <c r="K25" s="88">
        <f>'Nacimientos y tablas de vida, V'!C8</f>
        <v>28573.70908</v>
      </c>
      <c r="L25" s="89">
        <f>'Nacimientos y tablas de vida, V'!D8</f>
        <v>306657.7803</v>
      </c>
      <c r="M25" s="61">
        <f t="shared" si="12"/>
        <v>0.09317783835</v>
      </c>
      <c r="N25" s="58">
        <f t="shared" si="13"/>
        <v>0.2661743746</v>
      </c>
      <c r="O25" s="58">
        <f t="shared" si="16"/>
        <v>0.04589008539</v>
      </c>
      <c r="P25" s="58">
        <f>'Nacimientos y tablas de vida, V'!H25</f>
        <v>97884.41476</v>
      </c>
      <c r="Q25" s="58">
        <f t="shared" si="14"/>
        <v>0.1957688295</v>
      </c>
      <c r="R25" s="58">
        <f t="shared" si="15"/>
        <v>0.008983848302</v>
      </c>
    </row>
    <row r="26">
      <c r="A26" s="7" t="s">
        <v>312</v>
      </c>
      <c r="G26" s="57" t="s">
        <v>164</v>
      </c>
      <c r="H26" s="57">
        <v>32.5</v>
      </c>
      <c r="I26" s="58">
        <v>30.0</v>
      </c>
      <c r="J26" s="58">
        <v>34.0</v>
      </c>
      <c r="K26" s="88">
        <f>'Nacimientos y tablas de vida, V'!C9</f>
        <v>19118.852</v>
      </c>
      <c r="L26" s="89">
        <f>'Nacimientos y tablas de vida, V'!D9</f>
        <v>303272.3073</v>
      </c>
      <c r="M26" s="61">
        <f t="shared" si="12"/>
        <v>0.06304186546</v>
      </c>
      <c r="N26" s="58">
        <f t="shared" si="13"/>
        <v>0.180087126</v>
      </c>
      <c r="O26" s="58">
        <f t="shared" si="16"/>
        <v>0.03104811874</v>
      </c>
      <c r="P26" s="58">
        <f>'Nacimientos y tablas de vida, V'!H26</f>
        <v>97504.7019</v>
      </c>
      <c r="Q26" s="58">
        <f t="shared" si="14"/>
        <v>0.1950094038</v>
      </c>
      <c r="R26" s="58">
        <f t="shared" si="15"/>
        <v>0.006054675124</v>
      </c>
    </row>
    <row r="27">
      <c r="G27" s="57" t="s">
        <v>165</v>
      </c>
      <c r="H27" s="57">
        <v>37.5</v>
      </c>
      <c r="I27" s="58">
        <v>35.0</v>
      </c>
      <c r="J27" s="58">
        <v>39.0</v>
      </c>
      <c r="K27" s="88">
        <f>'Nacimientos y tablas de vida, V'!C10</f>
        <v>9508.66439</v>
      </c>
      <c r="L27" s="89">
        <f>'Nacimientos y tablas de vida, V'!D10</f>
        <v>299156.6221</v>
      </c>
      <c r="M27" s="61">
        <f t="shared" si="12"/>
        <v>0.03178490359</v>
      </c>
      <c r="N27" s="58">
        <f t="shared" si="13"/>
        <v>0.0907976294</v>
      </c>
      <c r="O27" s="58">
        <f t="shared" si="16"/>
        <v>0.01565406502</v>
      </c>
      <c r="P27" s="58">
        <f>'Nacimientos y tablas de vida, V'!H27</f>
        <v>97007.55435</v>
      </c>
      <c r="Q27" s="58">
        <f t="shared" si="14"/>
        <v>0.1940151087</v>
      </c>
      <c r="R27" s="58">
        <f t="shared" si="15"/>
        <v>0.003037125126</v>
      </c>
    </row>
    <row r="28">
      <c r="G28" s="57" t="s">
        <v>166</v>
      </c>
      <c r="H28" s="57">
        <v>42.5</v>
      </c>
      <c r="I28" s="58">
        <v>40.0</v>
      </c>
      <c r="J28" s="58">
        <v>44.0</v>
      </c>
      <c r="K28" s="88">
        <f>'Nacimientos y tablas de vida, V'!C11</f>
        <v>2342.140588</v>
      </c>
      <c r="L28" s="89">
        <f>'Nacimientos y tablas de vida, V'!D11</f>
        <v>286420.7977</v>
      </c>
      <c r="M28" s="61">
        <f t="shared" si="12"/>
        <v>0.008177271367</v>
      </c>
      <c r="N28" s="58">
        <f t="shared" si="13"/>
        <v>0.02335941819</v>
      </c>
      <c r="O28" s="58">
        <f t="shared" si="16"/>
        <v>0.004027306148</v>
      </c>
      <c r="P28" s="58">
        <f>'Nacimientos y tablas de vida, V'!H28</f>
        <v>96404.60439</v>
      </c>
      <c r="Q28" s="58">
        <f t="shared" si="14"/>
        <v>0.1928092088</v>
      </c>
      <c r="R28" s="58">
        <f t="shared" si="15"/>
        <v>0.0007765017119</v>
      </c>
    </row>
    <row r="29">
      <c r="G29" s="57" t="s">
        <v>167</v>
      </c>
      <c r="H29" s="57">
        <v>47.5</v>
      </c>
      <c r="I29" s="58">
        <v>45.0</v>
      </c>
      <c r="J29" s="58">
        <v>49.0</v>
      </c>
      <c r="K29" s="88">
        <f>'Nacimientos y tablas de vida, V'!C12</f>
        <v>154.315288</v>
      </c>
      <c r="L29" s="89">
        <f>'Nacimientos y tablas de vida, V'!D12</f>
        <v>269258.7076</v>
      </c>
      <c r="M29" s="61">
        <f t="shared" si="12"/>
        <v>0.0005731115972</v>
      </c>
      <c r="N29" s="58">
        <f t="shared" si="13"/>
        <v>0.001637166344</v>
      </c>
      <c r="O29" s="58">
        <f t="shared" si="16"/>
        <v>0.0002822574616</v>
      </c>
      <c r="P29" s="58">
        <f>'Nacimientos y tablas de vida, V'!H29</f>
        <v>95489.32762</v>
      </c>
      <c r="Q29" s="58">
        <f t="shared" si="14"/>
        <v>0.1909786552</v>
      </c>
      <c r="R29" s="58">
        <f t="shared" si="15"/>
        <v>0.00005390515045</v>
      </c>
    </row>
    <row r="30">
      <c r="G30" s="67" t="s">
        <v>6</v>
      </c>
      <c r="H30" s="68"/>
      <c r="I30" s="68"/>
      <c r="J30" s="68"/>
      <c r="K30" s="69"/>
      <c r="L30" s="70"/>
      <c r="M30" s="71">
        <f>SUM(M23:M29)</f>
        <v>0.3500631437</v>
      </c>
      <c r="N30" s="72"/>
      <c r="O30" s="72"/>
      <c r="P30" s="72"/>
      <c r="Q30" s="72"/>
      <c r="R30" s="73">
        <f>SUM(R23:R29)</f>
        <v>0.03374062762</v>
      </c>
    </row>
    <row r="31">
      <c r="G31" s="75"/>
      <c r="H31" s="75"/>
      <c r="I31" s="75"/>
      <c r="J31" s="75"/>
      <c r="K31" s="75"/>
      <c r="L31" s="76" t="s">
        <v>341</v>
      </c>
      <c r="M31" s="77">
        <f>M30*5</f>
        <v>1.750315718</v>
      </c>
      <c r="N31" s="78"/>
      <c r="O31" s="79"/>
      <c r="P31" s="79"/>
      <c r="Q31" s="79"/>
      <c r="R31" s="79"/>
    </row>
    <row r="32">
      <c r="G32" s="79"/>
      <c r="H32" s="79"/>
      <c r="I32" s="79"/>
      <c r="J32" s="79"/>
      <c r="K32" s="79"/>
      <c r="L32" s="80" t="s">
        <v>342</v>
      </c>
      <c r="M32" s="79"/>
      <c r="N32" s="81"/>
      <c r="O32" s="82">
        <f>M31*N2</f>
        <v>0.8620304913</v>
      </c>
      <c r="P32" s="79"/>
      <c r="Q32" s="83" t="s">
        <v>343</v>
      </c>
      <c r="R32" s="82">
        <f>M31*'Nacimientos y tablas de vida, V'!H8</f>
        <v>0.8647384538</v>
      </c>
    </row>
    <row r="33">
      <c r="G33" s="79"/>
      <c r="H33" s="79"/>
      <c r="I33" s="79"/>
      <c r="J33" s="79"/>
      <c r="K33" s="79"/>
      <c r="L33" s="80" t="s">
        <v>344</v>
      </c>
      <c r="M33" s="85"/>
      <c r="N33" s="85"/>
      <c r="O33" s="85"/>
      <c r="P33" s="85"/>
      <c r="Q33" s="85"/>
      <c r="R33" s="86">
        <f>R30*5</f>
        <v>0.1687031381</v>
      </c>
    </row>
    <row r="35">
      <c r="A35" s="50" t="s">
        <v>350</v>
      </c>
    </row>
    <row r="36">
      <c r="A36" s="51"/>
      <c r="B36" s="51"/>
      <c r="C36" s="51"/>
      <c r="D36" s="51"/>
      <c r="E36" s="51"/>
      <c r="F36" s="51"/>
      <c r="H36" s="90" t="s">
        <v>347</v>
      </c>
    </row>
    <row r="37">
      <c r="A37" s="91" t="s">
        <v>338</v>
      </c>
      <c r="B37" s="92" t="s">
        <v>351</v>
      </c>
      <c r="C37" s="55"/>
      <c r="D37" s="55"/>
      <c r="E37" s="55"/>
      <c r="F37" s="56"/>
      <c r="H37" s="93">
        <f t="shared" ref="H37:H38" si="17">D6/D12</f>
        <v>57.9078641</v>
      </c>
    </row>
    <row r="38">
      <c r="A38" s="94"/>
      <c r="B38" s="62" t="s">
        <v>334</v>
      </c>
      <c r="C38" s="37" t="s">
        <v>347</v>
      </c>
      <c r="D38" s="37" t="s">
        <v>341</v>
      </c>
      <c r="E38" s="62" t="s">
        <v>342</v>
      </c>
      <c r="F38" s="37" t="s">
        <v>344</v>
      </c>
      <c r="H38" s="93">
        <f t="shared" si="17"/>
        <v>51.49887712</v>
      </c>
    </row>
    <row r="39">
      <c r="A39" s="57" t="s">
        <v>352</v>
      </c>
      <c r="B39" s="95">
        <f>(D7/D6-1)*100</f>
        <v>-17.43476625</v>
      </c>
      <c r="C39" s="95">
        <f>(D19/D18-1)*100</f>
        <v>-11.06755892</v>
      </c>
      <c r="D39" s="88">
        <f>(M31/M12-1)*100</f>
        <v>-8.946569489</v>
      </c>
      <c r="E39" s="88">
        <f>(O32/O13-1)*100</f>
        <v>-8.946569489</v>
      </c>
      <c r="F39" s="88">
        <f>(R33/R14-1)*100</f>
        <v>-81.76303027</v>
      </c>
    </row>
  </sheetData>
  <mergeCells count="7">
    <mergeCell ref="A3:C3"/>
    <mergeCell ref="A4:D4"/>
    <mergeCell ref="A10:D10"/>
    <mergeCell ref="A16:D16"/>
    <mergeCell ref="A35:F35"/>
    <mergeCell ref="A37:A38"/>
    <mergeCell ref="B37:F37"/>
  </mergeCells>
  <drawing r:id="rId1"/>
</worksheet>
</file>