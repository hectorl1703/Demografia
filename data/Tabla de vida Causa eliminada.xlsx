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2bc5d3e0e8d4df3/Documents/Demografia/"/>
    </mc:Choice>
  </mc:AlternateContent>
  <xr:revisionPtr revIDLastSave="3" documentId="8_{FA7A7A37-6BDE-4719-9401-E29C323471C0}" xr6:coauthVersionLast="47" xr6:coauthVersionMax="47" xr10:uidLastSave="{819BC094-ECEB-40F0-AC82-0057F9B96F09}"/>
  <bookViews>
    <workbookView xWindow="5856" yWindow="3456" windowWidth="17280" windowHeight="8880" xr2:uid="{00000000-000D-0000-FFFF-FFFF00000000}"/>
  </bookViews>
  <sheets>
    <sheet name="Decrementos Múltiples" sheetId="8" r:id="rId1"/>
    <sheet name="Base defun. por homi" sheetId="1" r:id="rId2"/>
    <sheet name="Tabla din. defun. x homi" sheetId="3" r:id="rId3"/>
    <sheet name="Prorrateo" sheetId="2" r:id="rId4"/>
    <sheet name="Homicidios" sheetId="4" r:id="rId5"/>
    <sheet name="Defunciones generales" sheetId="5" r:id="rId6"/>
    <sheet name="LT Ver" sheetId="6" r:id="rId7"/>
  </sheets>
  <externalReferences>
    <externalReference r:id="rId8"/>
  </externalReferences>
  <definedNames>
    <definedName name="Family">#REF!</definedName>
    <definedName name="FamSelect">#REF!</definedName>
    <definedName name="Princeton">#REF!</definedName>
    <definedName name="Sex">#REF!</definedName>
    <definedName name="UN">#REF!</definedName>
    <definedName name="Variant">#REF!</definedName>
  </definedNames>
  <calcPr calcId="191029"/>
  <pivotCaches>
    <pivotCache cacheId="3" r:id="rId9"/>
  </pivotCaches>
</workbook>
</file>

<file path=xl/calcChain.xml><?xml version="1.0" encoding="utf-8"?>
<calcChain xmlns="http://schemas.openxmlformats.org/spreadsheetml/2006/main">
  <c r="K29" i="8" l="1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28" i="8"/>
  <c r="K27" i="8"/>
  <c r="AB28" i="8" s="1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27" i="8"/>
  <c r="F27" i="8" s="1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D27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4" i="8"/>
  <c r="AA28" i="8" s="1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4" i="8"/>
  <c r="E5" i="8"/>
  <c r="F5" i="8" s="1"/>
  <c r="E6" i="8"/>
  <c r="F6" i="8" s="1"/>
  <c r="E7" i="8"/>
  <c r="F7" i="8" s="1"/>
  <c r="E8" i="8"/>
  <c r="F8" i="8" s="1"/>
  <c r="E9" i="8"/>
  <c r="F9" i="8" s="1"/>
  <c r="E10" i="8"/>
  <c r="F10" i="8" s="1"/>
  <c r="E11" i="8"/>
  <c r="F11" i="8" s="1"/>
  <c r="E12" i="8"/>
  <c r="F12" i="8" s="1"/>
  <c r="E13" i="8"/>
  <c r="F13" i="8" s="1"/>
  <c r="E14" i="8"/>
  <c r="F14" i="8" s="1"/>
  <c r="E15" i="8"/>
  <c r="E16" i="8"/>
  <c r="E17" i="8"/>
  <c r="E18" i="8"/>
  <c r="E19" i="8"/>
  <c r="E20" i="8"/>
  <c r="E21" i="8"/>
  <c r="E22" i="8"/>
  <c r="E4" i="8"/>
  <c r="D5" i="8"/>
  <c r="D6" i="8"/>
  <c r="D7" i="8"/>
  <c r="D8" i="8"/>
  <c r="D9" i="8"/>
  <c r="D10" i="8"/>
  <c r="D11" i="8"/>
  <c r="D12" i="8"/>
  <c r="D13" i="8"/>
  <c r="D14" i="8"/>
  <c r="D15" i="8"/>
  <c r="F15" i="8" s="1"/>
  <c r="D16" i="8"/>
  <c r="F16" i="8" s="1"/>
  <c r="D17" i="8"/>
  <c r="F17" i="8" s="1"/>
  <c r="D18" i="8"/>
  <c r="F18" i="8" s="1"/>
  <c r="D19" i="8"/>
  <c r="F19" i="8" s="1"/>
  <c r="D20" i="8"/>
  <c r="F20" i="8" s="1"/>
  <c r="D21" i="8"/>
  <c r="F21" i="8" s="1"/>
  <c r="D22" i="8"/>
  <c r="F22" i="8" s="1"/>
  <c r="D4" i="8"/>
  <c r="V32" i="8"/>
  <c r="V9" i="8"/>
  <c r="F24" i="2"/>
  <c r="F44" i="2" s="1"/>
  <c r="H9" i="2"/>
  <c r="L2" i="2"/>
  <c r="H8" i="2"/>
  <c r="H2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" i="2"/>
  <c r="H3" i="2"/>
  <c r="H4" i="2"/>
  <c r="H5" i="2"/>
  <c r="H6" i="2"/>
  <c r="H7" i="2"/>
  <c r="H10" i="2"/>
  <c r="H11" i="2"/>
  <c r="H12" i="2"/>
  <c r="H13" i="2"/>
  <c r="H14" i="2"/>
  <c r="H15" i="2"/>
  <c r="H16" i="2"/>
  <c r="H17" i="2"/>
  <c r="H18" i="2"/>
  <c r="H19" i="2"/>
  <c r="H20" i="2"/>
  <c r="H21" i="2"/>
  <c r="F4" i="8" l="1"/>
  <c r="L4" i="8" s="1"/>
  <c r="L45" i="8"/>
  <c r="M45" i="8" s="1"/>
  <c r="I45" i="8"/>
  <c r="L44" i="8"/>
  <c r="M44" i="8" s="1"/>
  <c r="I44" i="8"/>
  <c r="L43" i="8"/>
  <c r="M43" i="8" s="1"/>
  <c r="I43" i="8"/>
  <c r="L42" i="8"/>
  <c r="M42" i="8" s="1"/>
  <c r="I42" i="8"/>
  <c r="L41" i="8"/>
  <c r="M41" i="8" s="1"/>
  <c r="I41" i="8"/>
  <c r="L40" i="8"/>
  <c r="M40" i="8" s="1"/>
  <c r="I40" i="8"/>
  <c r="L39" i="8"/>
  <c r="M39" i="8" s="1"/>
  <c r="I39" i="8"/>
  <c r="L38" i="8"/>
  <c r="M38" i="8" s="1"/>
  <c r="I38" i="8"/>
  <c r="L37" i="8"/>
  <c r="M37" i="8" s="1"/>
  <c r="I37" i="8"/>
  <c r="L36" i="8"/>
  <c r="M36" i="8" s="1"/>
  <c r="I36" i="8"/>
  <c r="L35" i="8"/>
  <c r="M35" i="8" s="1"/>
  <c r="I35" i="8"/>
  <c r="L34" i="8"/>
  <c r="M34" i="8" s="1"/>
  <c r="I34" i="8"/>
  <c r="I33" i="8"/>
  <c r="L33" i="8"/>
  <c r="M33" i="8" s="1"/>
  <c r="L32" i="8"/>
  <c r="M32" i="8" s="1"/>
  <c r="I32" i="8"/>
  <c r="L31" i="8"/>
  <c r="M31" i="8" s="1"/>
  <c r="I31" i="8"/>
  <c r="L30" i="8"/>
  <c r="M30" i="8" s="1"/>
  <c r="I30" i="8"/>
  <c r="I29" i="8"/>
  <c r="L29" i="8"/>
  <c r="M29" i="8" s="1"/>
  <c r="I28" i="8"/>
  <c r="L28" i="8"/>
  <c r="M28" i="8" s="1"/>
  <c r="I27" i="8"/>
  <c r="L27" i="8"/>
  <c r="L22" i="8"/>
  <c r="M22" i="8" s="1"/>
  <c r="I22" i="8"/>
  <c r="L21" i="8"/>
  <c r="M21" i="8" s="1"/>
  <c r="I21" i="8"/>
  <c r="I20" i="8"/>
  <c r="L20" i="8"/>
  <c r="M20" i="8" s="1"/>
  <c r="L19" i="8"/>
  <c r="M19" i="8" s="1"/>
  <c r="I19" i="8"/>
  <c r="I18" i="8"/>
  <c r="L18" i="8"/>
  <c r="M18" i="8" s="1"/>
  <c r="L17" i="8"/>
  <c r="M17" i="8" s="1"/>
  <c r="I17" i="8"/>
  <c r="L16" i="8"/>
  <c r="M16" i="8" s="1"/>
  <c r="I16" i="8"/>
  <c r="I15" i="8"/>
  <c r="L15" i="8"/>
  <c r="M15" i="8" s="1"/>
  <c r="L14" i="8"/>
  <c r="M14" i="8" s="1"/>
  <c r="I14" i="8"/>
  <c r="I13" i="8"/>
  <c r="L13" i="8"/>
  <c r="M13" i="8" s="1"/>
  <c r="L12" i="8"/>
  <c r="M12" i="8" s="1"/>
  <c r="I12" i="8"/>
  <c r="I11" i="8"/>
  <c r="L11" i="8"/>
  <c r="M11" i="8" s="1"/>
  <c r="L10" i="8"/>
  <c r="M10" i="8" s="1"/>
  <c r="I10" i="8"/>
  <c r="L9" i="8"/>
  <c r="M9" i="8" s="1"/>
  <c r="I9" i="8"/>
  <c r="L8" i="8"/>
  <c r="M8" i="8" s="1"/>
  <c r="I8" i="8"/>
  <c r="I7" i="8"/>
  <c r="L7" i="8"/>
  <c r="M7" i="8" s="1"/>
  <c r="I6" i="8"/>
  <c r="L6" i="8"/>
  <c r="M6" i="8" s="1"/>
  <c r="I5" i="8"/>
  <c r="L5" i="8"/>
  <c r="M5" i="8" s="1"/>
  <c r="I4" i="8"/>
  <c r="P45" i="8"/>
  <c r="P22" i="8"/>
  <c r="L4" i="2"/>
  <c r="L18" i="2"/>
  <c r="L19" i="2"/>
  <c r="L3" i="2"/>
  <c r="L6" i="2"/>
  <c r="L7" i="2"/>
  <c r="L8" i="2"/>
  <c r="L9" i="2"/>
  <c r="L10" i="2"/>
  <c r="L11" i="2"/>
  <c r="L12" i="2"/>
  <c r="L13" i="2"/>
  <c r="L14" i="2"/>
  <c r="L15" i="2"/>
  <c r="L16" i="2"/>
  <c r="L17" i="2"/>
  <c r="L5" i="2"/>
  <c r="L20" i="2"/>
  <c r="P21" i="8" l="1"/>
  <c r="M27" i="8"/>
  <c r="N28" i="8"/>
  <c r="M4" i="8"/>
  <c r="N5" i="8"/>
  <c r="P29" i="8"/>
  <c r="P5" i="8"/>
  <c r="P44" i="8"/>
  <c r="P28" i="8"/>
  <c r="P6" i="8"/>
  <c r="P27" i="8" l="1"/>
  <c r="O27" i="8"/>
  <c r="O28" i="8"/>
  <c r="N29" i="8"/>
  <c r="P4" i="8"/>
  <c r="O4" i="8"/>
  <c r="O5" i="8"/>
  <c r="N6" i="8"/>
  <c r="Q27" i="8" l="1"/>
  <c r="Q4" i="8"/>
  <c r="O29" i="8"/>
  <c r="N30" i="8"/>
  <c r="Q28" i="8"/>
  <c r="Q5" i="8"/>
  <c r="O6" i="8"/>
  <c r="N7" i="8"/>
  <c r="O30" i="8" l="1"/>
  <c r="N31" i="8"/>
  <c r="Q29" i="8"/>
  <c r="O7" i="8"/>
  <c r="N8" i="8"/>
  <c r="Q6" i="8"/>
  <c r="O31" i="8" l="1"/>
  <c r="P30" i="8" s="1"/>
  <c r="Q30" i="8" s="1"/>
  <c r="N32" i="8"/>
  <c r="O8" i="8"/>
  <c r="N9" i="8"/>
  <c r="O32" i="8" l="1"/>
  <c r="N33" i="8"/>
  <c r="N10" i="8"/>
  <c r="O9" i="8"/>
  <c r="P8" i="8"/>
  <c r="Q8" i="8" s="1"/>
  <c r="P7" i="8"/>
  <c r="Q7" i="8" s="1"/>
  <c r="P31" i="8" l="1"/>
  <c r="Q31" i="8" s="1"/>
  <c r="O33" i="8"/>
  <c r="N34" i="8"/>
  <c r="N11" i="8"/>
  <c r="O10" i="8"/>
  <c r="P9" i="8" s="1"/>
  <c r="Q9" i="8" s="1"/>
  <c r="O34" i="8" l="1"/>
  <c r="P33" i="8" s="1"/>
  <c r="Q33" i="8" s="1"/>
  <c r="N35" i="8"/>
  <c r="O11" i="8"/>
  <c r="N12" i="8"/>
  <c r="P32" i="8"/>
  <c r="Q32" i="8" s="1"/>
  <c r="O35" i="8" l="1"/>
  <c r="N36" i="8"/>
  <c r="P10" i="8"/>
  <c r="Q10" i="8" s="1"/>
  <c r="N13" i="8"/>
  <c r="O12" i="8"/>
  <c r="P11" i="8" s="1"/>
  <c r="Q11" i="8" s="1"/>
  <c r="O36" i="8" l="1"/>
  <c r="P35" i="8" s="1"/>
  <c r="Q35" i="8" s="1"/>
  <c r="N37" i="8"/>
  <c r="O13" i="8"/>
  <c r="N14" i="8"/>
  <c r="P34" i="8"/>
  <c r="Q34" i="8" s="1"/>
  <c r="O37" i="8" l="1"/>
  <c r="N38" i="8"/>
  <c r="P12" i="8"/>
  <c r="Q12" i="8" s="1"/>
  <c r="N15" i="8"/>
  <c r="O14" i="8"/>
  <c r="O38" i="8" l="1"/>
  <c r="P37" i="8" s="1"/>
  <c r="Q37" i="8" s="1"/>
  <c r="N39" i="8"/>
  <c r="O15" i="8"/>
  <c r="P14" i="8" s="1"/>
  <c r="Q14" i="8" s="1"/>
  <c r="N16" i="8"/>
  <c r="P36" i="8"/>
  <c r="Q36" i="8" s="1"/>
  <c r="P13" i="8"/>
  <c r="Q13" i="8" s="1"/>
  <c r="O39" i="8" l="1"/>
  <c r="N40" i="8"/>
  <c r="O16" i="8"/>
  <c r="N17" i="8"/>
  <c r="O40" i="8" l="1"/>
  <c r="P39" i="8" s="1"/>
  <c r="Q39" i="8" s="1"/>
  <c r="N41" i="8"/>
  <c r="O17" i="8"/>
  <c r="P16" i="8" s="1"/>
  <c r="Q16" i="8" s="1"/>
  <c r="N18" i="8"/>
  <c r="P38" i="8"/>
  <c r="Q38" i="8" s="1"/>
  <c r="P15" i="8"/>
  <c r="Q15" i="8" s="1"/>
  <c r="O41" i="8" l="1"/>
  <c r="P40" i="8" s="1"/>
  <c r="Q40" i="8" s="1"/>
  <c r="N42" i="8"/>
  <c r="O18" i="8"/>
  <c r="N19" i="8"/>
  <c r="O42" i="8" l="1"/>
  <c r="N43" i="8"/>
  <c r="O19" i="8"/>
  <c r="P18" i="8" s="1"/>
  <c r="Q18" i="8" s="1"/>
  <c r="N20" i="8"/>
  <c r="P17" i="8"/>
  <c r="Q17" i="8" s="1"/>
  <c r="P41" i="8" l="1"/>
  <c r="Q41" i="8" s="1"/>
  <c r="O43" i="8"/>
  <c r="N44" i="8"/>
  <c r="O20" i="8"/>
  <c r="N21" i="8"/>
  <c r="O44" i="8" l="1"/>
  <c r="P43" i="8" s="1"/>
  <c r="Q43" i="8" s="1"/>
  <c r="N45" i="8"/>
  <c r="O21" i="8"/>
  <c r="P20" i="8" s="1"/>
  <c r="Q20" i="8" s="1"/>
  <c r="N22" i="8"/>
  <c r="P42" i="8"/>
  <c r="Q42" i="8" s="1"/>
  <c r="P19" i="8"/>
  <c r="Q19" i="8" s="1"/>
  <c r="O45" i="8" l="1"/>
  <c r="R45" i="8"/>
  <c r="Q44" i="8"/>
  <c r="O22" i="8"/>
  <c r="R22" i="8"/>
  <c r="Q21" i="8"/>
  <c r="S45" i="8" l="1"/>
  <c r="T45" i="8" s="1"/>
  <c r="R44" i="8"/>
  <c r="S22" i="8"/>
  <c r="T22" i="8" s="1"/>
  <c r="R21" i="8"/>
  <c r="S44" i="8" l="1"/>
  <c r="T44" i="8" s="1"/>
  <c r="R43" i="8"/>
  <c r="S21" i="8"/>
  <c r="T21" i="8" s="1"/>
  <c r="R20" i="8"/>
  <c r="S43" i="8" l="1"/>
  <c r="T43" i="8" s="1"/>
  <c r="R42" i="8"/>
  <c r="S20" i="8"/>
  <c r="T20" i="8" s="1"/>
  <c r="R19" i="8"/>
  <c r="S42" i="8" l="1"/>
  <c r="T42" i="8" s="1"/>
  <c r="R41" i="8"/>
  <c r="S19" i="8"/>
  <c r="T19" i="8" s="1"/>
  <c r="R18" i="8"/>
  <c r="S41" i="8" l="1"/>
  <c r="T41" i="8" s="1"/>
  <c r="R40" i="8"/>
  <c r="S18" i="8"/>
  <c r="T18" i="8" s="1"/>
  <c r="R17" i="8"/>
  <c r="S40" i="8" l="1"/>
  <c r="T40" i="8" s="1"/>
  <c r="R39" i="8"/>
  <c r="S17" i="8"/>
  <c r="T17" i="8" s="1"/>
  <c r="R16" i="8"/>
  <c r="S39" i="8" l="1"/>
  <c r="T39" i="8" s="1"/>
  <c r="R38" i="8"/>
  <c r="S16" i="8"/>
  <c r="T16" i="8" s="1"/>
  <c r="R15" i="8"/>
  <c r="S38" i="8" l="1"/>
  <c r="T38" i="8" s="1"/>
  <c r="R37" i="8"/>
  <c r="S15" i="8"/>
  <c r="T15" i="8" s="1"/>
  <c r="R14" i="8"/>
  <c r="S37" i="8" l="1"/>
  <c r="T37" i="8" s="1"/>
  <c r="R36" i="8"/>
  <c r="R13" i="8"/>
  <c r="S14" i="8"/>
  <c r="T14" i="8" s="1"/>
  <c r="S36" i="8" l="1"/>
  <c r="T36" i="8" s="1"/>
  <c r="R35" i="8"/>
  <c r="S13" i="8"/>
  <c r="T13" i="8" s="1"/>
  <c r="R12" i="8"/>
  <c r="S35" i="8" l="1"/>
  <c r="T35" i="8" s="1"/>
  <c r="R34" i="8"/>
  <c r="R11" i="8"/>
  <c r="S12" i="8"/>
  <c r="T12" i="8" s="1"/>
  <c r="S34" i="8" l="1"/>
  <c r="T34" i="8" s="1"/>
  <c r="R33" i="8"/>
  <c r="S11" i="8"/>
  <c r="T11" i="8" s="1"/>
  <c r="R10" i="8"/>
  <c r="S33" i="8" l="1"/>
  <c r="T33" i="8" s="1"/>
  <c r="R32" i="8"/>
  <c r="R9" i="8"/>
  <c r="S10" i="8"/>
  <c r="T10" i="8" s="1"/>
  <c r="S32" i="8" l="1"/>
  <c r="T32" i="8" s="1"/>
  <c r="R31" i="8"/>
  <c r="R8" i="8"/>
  <c r="S9" i="8"/>
  <c r="T9" i="8" s="1"/>
  <c r="S31" i="8" l="1"/>
  <c r="T31" i="8" s="1"/>
  <c r="R30" i="8"/>
  <c r="S8" i="8"/>
  <c r="T8" i="8" s="1"/>
  <c r="R7" i="8"/>
  <c r="S30" i="8" l="1"/>
  <c r="T30" i="8" s="1"/>
  <c r="R29" i="8"/>
  <c r="S7" i="8"/>
  <c r="T7" i="8" s="1"/>
  <c r="R6" i="8"/>
  <c r="S29" i="8" l="1"/>
  <c r="T29" i="8" s="1"/>
  <c r="R28" i="8"/>
  <c r="R5" i="8"/>
  <c r="S6" i="8"/>
  <c r="T6" i="8" s="1"/>
  <c r="S28" i="8" l="1"/>
  <c r="T28" i="8" s="1"/>
  <c r="R27" i="8"/>
  <c r="S5" i="8"/>
  <c r="T5" i="8" s="1"/>
  <c r="R4" i="8"/>
  <c r="S27" i="8" l="1"/>
  <c r="W32" i="8"/>
  <c r="W33" i="8" s="1"/>
  <c r="W9" i="8"/>
  <c r="W10" i="8" s="1"/>
  <c r="S4" i="8"/>
  <c r="T27" i="8" l="1"/>
  <c r="AB27" i="8"/>
  <c r="AB29" i="8" s="1"/>
  <c r="T4" i="8"/>
  <c r="AA27" i="8"/>
  <c r="AA29" i="8" s="1"/>
</calcChain>
</file>

<file path=xl/sharedStrings.xml><?xml version="1.0" encoding="utf-8"?>
<sst xmlns="http://schemas.openxmlformats.org/spreadsheetml/2006/main" count="930" uniqueCount="61">
  <si>
    <t>Total</t>
  </si>
  <si>
    <t>Hombre</t>
  </si>
  <si>
    <t>Mujer</t>
  </si>
  <si>
    <t>No especificado</t>
  </si>
  <si>
    <t>FUENTE: INEGI. Estadísticas de mortalidad.</t>
  </si>
  <si>
    <t>Edad</t>
  </si>
  <si>
    <t>Año</t>
  </si>
  <si>
    <t>Filtro_Total</t>
  </si>
  <si>
    <t>Total_Muertes</t>
  </si>
  <si>
    <t>Sexo_No_Especificado</t>
  </si>
  <si>
    <t>Etiquetas de fila</t>
  </si>
  <si>
    <t>Total general</t>
  </si>
  <si>
    <t>Suma de Hombre</t>
  </si>
  <si>
    <t>Suma de Mujer</t>
  </si>
  <si>
    <t>Suma de Sexo_No_Especificado</t>
  </si>
  <si>
    <t>Suma de Total_Muertes</t>
  </si>
  <si>
    <t>Sexo No esp</t>
  </si>
  <si>
    <t>total</t>
  </si>
  <si>
    <t>PRORRATEO</t>
  </si>
  <si>
    <t>year</t>
  </si>
  <si>
    <t>sex</t>
  </si>
  <si>
    <t>age</t>
  </si>
  <si>
    <t>deaths</t>
  </si>
  <si>
    <t>male</t>
  </si>
  <si>
    <t>Hombres</t>
  </si>
  <si>
    <t xml:space="preserve">Mujeres </t>
  </si>
  <si>
    <t>female</t>
  </si>
  <si>
    <t>Mujeres</t>
  </si>
  <si>
    <t>x</t>
  </si>
  <si>
    <t>n</t>
  </si>
  <si>
    <t>mx</t>
  </si>
  <si>
    <t>ax</t>
  </si>
  <si>
    <t>qx</t>
  </si>
  <si>
    <t>px</t>
  </si>
  <si>
    <t>lx</t>
  </si>
  <si>
    <t>dx</t>
  </si>
  <si>
    <t>Lx</t>
  </si>
  <si>
    <t>Tx</t>
  </si>
  <si>
    <t>ex</t>
  </si>
  <si>
    <t>Hombres, 2019</t>
  </si>
  <si>
    <t>Age x</t>
  </si>
  <si>
    <t>nDx</t>
  </si>
  <si>
    <t>nDxi</t>
  </si>
  <si>
    <t>nqx</t>
  </si>
  <si>
    <t>e0</t>
  </si>
  <si>
    <t>nqx_i</t>
  </si>
  <si>
    <t>ndx_i</t>
  </si>
  <si>
    <t>L</t>
  </si>
  <si>
    <t>T</t>
  </si>
  <si>
    <t>e0_i</t>
  </si>
  <si>
    <t>diff</t>
  </si>
  <si>
    <t>Número de años que se espera 
que viva un hombre de 0 años 
hasta llegar a los 85 años.</t>
  </si>
  <si>
    <t>Sin COVID</t>
  </si>
  <si>
    <t>Con COVID</t>
  </si>
  <si>
    <t>Diff</t>
  </si>
  <si>
    <t>Mujeres, 2019</t>
  </si>
  <si>
    <t>Sin homicidios</t>
  </si>
  <si>
    <t>Número de años que se espera 
que viva una mujer de 0 años 
hasta llegar a los 85 años.</t>
  </si>
  <si>
    <t>Con homicidios</t>
  </si>
  <si>
    <t>Base de datos de Defunciones por homicidios de Veracruz</t>
  </si>
  <si>
    <t>Esta informacion, la obtenemos de nuestra base anteriormente onbtenida de defunciones generales de Veracruz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</si>
</sst>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"/>
    <numFmt numFmtId="165" formatCode="0.0000"/>
    <numFmt numFmtId="166" formatCode="#,##0.0000"/>
    <numFmt numFmtId="167" formatCode="0.000"/>
  </numFmts>
  <fonts count="8" x14ac:knownFonts="1">
    <font>
      <sz val="11"/>
      <name val="Calibri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Georgia"/>
      <family val="1"/>
    </font>
    <font>
      <sz val="11"/>
      <color rgb="FF000000"/>
      <name val="Calibri"/>
      <family val="2"/>
    </font>
    <font>
      <sz val="11"/>
      <color theme="0"/>
      <name val="Calibri"/>
      <family val="2"/>
    </font>
    <font>
      <b/>
      <sz val="11"/>
      <color rgb="FF000000"/>
      <name val="Georgia"/>
      <family val="1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FFFF00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CFF"/>
        <bgColor rgb="FFFFFF00"/>
      </patternFill>
    </fill>
    <fill>
      <patternFill patternType="solid">
        <fgColor rgb="FFFF99FF"/>
        <bgColor rgb="FFFFFF00"/>
      </patternFill>
    </fill>
    <fill>
      <patternFill patternType="solid">
        <fgColor rgb="FFFF99FF"/>
        <bgColor indexed="64"/>
      </patternFill>
    </fill>
    <fill>
      <patternFill patternType="solid">
        <fgColor theme="4" tint="0.79998168889431442"/>
        <bgColor rgb="FFFFFF00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9">
    <xf numFmtId="0" fontId="0" fillId="0" borderId="0" xfId="0"/>
    <xf numFmtId="164" fontId="0" fillId="0" borderId="0" xfId="0" applyNumberFormat="1" applyAlignment="1">
      <alignment horizontal="left" vertical="top"/>
    </xf>
    <xf numFmtId="1" fontId="0" fillId="0" borderId="0" xfId="0" applyNumberFormat="1" applyAlignment="1">
      <alignment horizontal="left" vertical="top"/>
    </xf>
    <xf numFmtId="0" fontId="2" fillId="0" borderId="0" xfId="0" applyFont="1"/>
    <xf numFmtId="164" fontId="2" fillId="0" borderId="0" xfId="0" applyNumberFormat="1" applyFont="1" applyAlignment="1">
      <alignment horizontal="left" vertical="top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2" fillId="2" borderId="1" xfId="0" applyFont="1" applyFill="1" applyBorder="1"/>
    <xf numFmtId="0" fontId="0" fillId="2" borderId="1" xfId="0" applyFill="1" applyBorder="1"/>
    <xf numFmtId="0" fontId="2" fillId="3" borderId="1" xfId="0" applyFont="1" applyFill="1" applyBorder="1"/>
    <xf numFmtId="0" fontId="0" fillId="3" borderId="1" xfId="0" applyFill="1" applyBorder="1"/>
    <xf numFmtId="0" fontId="1" fillId="0" borderId="0" xfId="1"/>
    <xf numFmtId="0" fontId="4" fillId="0" borderId="2" xfId="1" applyFont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4" fillId="0" borderId="5" xfId="1" applyFont="1" applyBorder="1" applyAlignment="1">
      <alignment horizontal="center"/>
    </xf>
    <xf numFmtId="0" fontId="4" fillId="0" borderId="0" xfId="1" applyFont="1" applyAlignment="1">
      <alignment horizontal="center"/>
    </xf>
    <xf numFmtId="3" fontId="4" fillId="5" borderId="0" xfId="1" applyNumberFormat="1" applyFont="1" applyFill="1" applyAlignment="1">
      <alignment horizontal="center"/>
    </xf>
    <xf numFmtId="2" fontId="4" fillId="0" borderId="0" xfId="1" applyNumberFormat="1" applyFont="1" applyAlignment="1">
      <alignment horizontal="center"/>
    </xf>
    <xf numFmtId="3" fontId="4" fillId="6" borderId="0" xfId="1" applyNumberFormat="1" applyFont="1" applyFill="1" applyAlignment="1">
      <alignment horizontal="center"/>
    </xf>
    <xf numFmtId="165" fontId="4" fillId="5" borderId="0" xfId="1" applyNumberFormat="1" applyFont="1" applyFill="1" applyAlignment="1">
      <alignment horizontal="center"/>
    </xf>
    <xf numFmtId="165" fontId="4" fillId="0" borderId="0" xfId="1" applyNumberFormat="1" applyFont="1" applyAlignment="1">
      <alignment horizontal="center"/>
    </xf>
    <xf numFmtId="0" fontId="4" fillId="5" borderId="0" xfId="1" applyFont="1" applyFill="1" applyAlignment="1">
      <alignment horizontal="center"/>
    </xf>
    <xf numFmtId="166" fontId="4" fillId="0" borderId="0" xfId="1" applyNumberFormat="1" applyFont="1" applyAlignment="1">
      <alignment horizontal="center"/>
    </xf>
    <xf numFmtId="3" fontId="4" fillId="0" borderId="0" xfId="1" applyNumberFormat="1" applyFont="1" applyAlignment="1">
      <alignment horizontal="center"/>
    </xf>
    <xf numFmtId="167" fontId="4" fillId="0" borderId="0" xfId="1" applyNumberFormat="1" applyFont="1" applyAlignment="1">
      <alignment horizontal="center"/>
    </xf>
    <xf numFmtId="2" fontId="7" fillId="7" borderId="0" xfId="1" applyNumberFormat="1" applyFont="1" applyFill="1" applyAlignment="1">
      <alignment horizontal="center"/>
    </xf>
    <xf numFmtId="2" fontId="1" fillId="0" borderId="6" xfId="1" applyNumberFormat="1" applyBorder="1"/>
    <xf numFmtId="0" fontId="3" fillId="0" borderId="13" xfId="1" applyFont="1" applyBorder="1" applyAlignment="1">
      <alignment horizontal="center" vertical="center"/>
    </xf>
    <xf numFmtId="2" fontId="1" fillId="0" borderId="13" xfId="1" applyNumberFormat="1" applyBorder="1"/>
    <xf numFmtId="0" fontId="3" fillId="0" borderId="13" xfId="1" applyFont="1" applyBorder="1"/>
    <xf numFmtId="0" fontId="4" fillId="0" borderId="14" xfId="1" applyFont="1" applyBorder="1" applyAlignment="1">
      <alignment horizontal="center"/>
    </xf>
    <xf numFmtId="0" fontId="4" fillId="0" borderId="15" xfId="1" applyFont="1" applyBorder="1" applyAlignment="1">
      <alignment horizontal="center"/>
    </xf>
    <xf numFmtId="2" fontId="4" fillId="0" borderId="15" xfId="1" applyNumberFormat="1" applyFont="1" applyBorder="1" applyAlignment="1">
      <alignment horizontal="center"/>
    </xf>
    <xf numFmtId="165" fontId="4" fillId="0" borderId="15" xfId="1" applyNumberFormat="1" applyFont="1" applyBorder="1" applyAlignment="1">
      <alignment horizontal="center"/>
    </xf>
    <xf numFmtId="2" fontId="4" fillId="5" borderId="15" xfId="1" applyNumberFormat="1" applyFont="1" applyFill="1" applyBorder="1" applyAlignment="1">
      <alignment horizontal="center"/>
    </xf>
    <xf numFmtId="166" fontId="4" fillId="0" borderId="15" xfId="1" applyNumberFormat="1" applyFont="1" applyBorder="1" applyAlignment="1">
      <alignment horizontal="center"/>
    </xf>
    <xf numFmtId="3" fontId="4" fillId="0" borderId="15" xfId="1" applyNumberFormat="1" applyFont="1" applyBorder="1" applyAlignment="1">
      <alignment horizontal="center"/>
    </xf>
    <xf numFmtId="167" fontId="4" fillId="0" borderId="15" xfId="1" applyNumberFormat="1" applyFont="1" applyBorder="1" applyAlignment="1">
      <alignment horizontal="center"/>
    </xf>
    <xf numFmtId="2" fontId="1" fillId="0" borderId="16" xfId="1" applyNumberFormat="1" applyBorder="1"/>
    <xf numFmtId="0" fontId="5" fillId="0" borderId="0" xfId="1" applyFont="1" applyAlignment="1">
      <alignment horizontal="left"/>
    </xf>
    <xf numFmtId="0" fontId="3" fillId="0" borderId="0" xfId="1" applyFont="1"/>
    <xf numFmtId="0" fontId="1" fillId="0" borderId="1" xfId="1" applyBorder="1"/>
    <xf numFmtId="2" fontId="1" fillId="0" borderId="1" xfId="1" applyNumberFormat="1" applyBorder="1"/>
    <xf numFmtId="0" fontId="1" fillId="0" borderId="0" xfId="1" applyAlignment="1">
      <alignment horizontal="center"/>
    </xf>
    <xf numFmtId="2" fontId="1" fillId="0" borderId="0" xfId="1" applyNumberFormat="1"/>
    <xf numFmtId="3" fontId="4" fillId="3" borderId="0" xfId="1" applyNumberFormat="1" applyFont="1" applyFill="1" applyAlignment="1">
      <alignment horizontal="center"/>
    </xf>
    <xf numFmtId="3" fontId="4" fillId="8" borderId="0" xfId="1" applyNumberFormat="1" applyFont="1" applyFill="1" applyAlignment="1">
      <alignment horizontal="center"/>
    </xf>
    <xf numFmtId="165" fontId="4" fillId="3" borderId="0" xfId="1" applyNumberFormat="1" applyFont="1" applyFill="1" applyAlignment="1">
      <alignment horizontal="center"/>
    </xf>
    <xf numFmtId="0" fontId="4" fillId="3" borderId="0" xfId="1" applyFont="1" applyFill="1" applyAlignment="1">
      <alignment horizontal="center"/>
    </xf>
    <xf numFmtId="2" fontId="4" fillId="3" borderId="0" xfId="1" applyNumberFormat="1" applyFont="1" applyFill="1" applyAlignment="1">
      <alignment horizontal="center"/>
    </xf>
    <xf numFmtId="2" fontId="7" fillId="9" borderId="0" xfId="1" applyNumberFormat="1" applyFont="1" applyFill="1" applyAlignment="1">
      <alignment horizontal="center"/>
    </xf>
    <xf numFmtId="2" fontId="4" fillId="3" borderId="15" xfId="1" applyNumberFormat="1" applyFont="1" applyFill="1" applyBorder="1" applyAlignment="1">
      <alignment horizontal="center"/>
    </xf>
    <xf numFmtId="2" fontId="7" fillId="10" borderId="0" xfId="1" applyNumberFormat="1" applyFont="1" applyFill="1" applyAlignment="1">
      <alignment horizontal="center"/>
    </xf>
    <xf numFmtId="2" fontId="7" fillId="11" borderId="0" xfId="1" applyNumberFormat="1" applyFont="1" applyFill="1" applyAlignment="1">
      <alignment horizontal="center"/>
    </xf>
    <xf numFmtId="2" fontId="4" fillId="11" borderId="0" xfId="1" applyNumberFormat="1" applyFont="1" applyFill="1" applyAlignment="1">
      <alignment horizontal="center"/>
    </xf>
    <xf numFmtId="0" fontId="1" fillId="0" borderId="7" xfId="1" applyBorder="1" applyAlignment="1">
      <alignment horizontal="center" vertical="center" wrapText="1"/>
    </xf>
    <xf numFmtId="0" fontId="2" fillId="0" borderId="8" xfId="1" applyFont="1" applyBorder="1" applyAlignment="1">
      <alignment vertical="center" wrapText="1"/>
    </xf>
    <xf numFmtId="0" fontId="2" fillId="0" borderId="9" xfId="1" applyFont="1" applyBorder="1" applyAlignment="1">
      <alignment vertical="center" wrapText="1"/>
    </xf>
    <xf numFmtId="0" fontId="2" fillId="0" borderId="10" xfId="1" applyFont="1" applyBorder="1" applyAlignment="1">
      <alignment vertical="center" wrapText="1"/>
    </xf>
    <xf numFmtId="0" fontId="2" fillId="0" borderId="11" xfId="1" applyFont="1" applyBorder="1" applyAlignment="1">
      <alignment vertical="center" wrapText="1"/>
    </xf>
    <xf numFmtId="0" fontId="2" fillId="0" borderId="12" xfId="1" applyFont="1" applyBorder="1" applyAlignment="1">
      <alignment vertical="center" wrapText="1"/>
    </xf>
    <xf numFmtId="0" fontId="3" fillId="3" borderId="0" xfId="1" applyFont="1" applyFill="1" applyAlignment="1">
      <alignment horizontal="center"/>
    </xf>
    <xf numFmtId="0" fontId="3" fillId="4" borderId="15" xfId="1" applyFont="1" applyFill="1" applyBorder="1" applyAlignment="1">
      <alignment horizontal="center"/>
    </xf>
    <xf numFmtId="164" fontId="0" fillId="0" borderId="0" xfId="0" applyNumberFormat="1" applyAlignment="1">
      <alignment horizontal="left" vertical="top"/>
    </xf>
    <xf numFmtId="0" fontId="0" fillId="0" borderId="0" xfId="0" applyAlignment="1">
      <alignment horizontal="center"/>
    </xf>
  </cellXfs>
  <cellStyles count="2">
    <cellStyle name="Normal" xfId="0" builtinId="0"/>
    <cellStyle name="Normal 2" xfId="1" xr:uid="{F93F3755-FFC3-40E5-A9E9-76931EB26429}"/>
  </cellStyles>
  <dxfs count="0"/>
  <tableStyles count="0" defaultTableStyle="TableStyleMedium2" defaultPivotStyle="PivotStyleLight16"/>
  <colors>
    <mruColors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800" b="0">
                <a:solidFill>
                  <a:srgbClr val="757575"/>
                </a:solidFill>
                <a:latin typeface="+mn-lt"/>
              </a:defRPr>
            </a:pPr>
            <a:r>
              <a:rPr lang="es-MX" sz="1800" b="0">
                <a:solidFill>
                  <a:srgbClr val="757575"/>
                </a:solidFill>
                <a:latin typeface="+mn-lt"/>
              </a:rPr>
              <a:t>Mujeres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529098188569126"/>
          <c:y val="0.15635973880976908"/>
          <c:w val="0.84219300536871089"/>
          <c:h val="0.74697153240460323"/>
        </c:manualLayout>
      </c:layout>
      <c:lineChart>
        <c:grouping val="standard"/>
        <c:varyColors val="1"/>
        <c:ser>
          <c:idx val="0"/>
          <c:order val="0"/>
          <c:tx>
            <c:strRef>
              <c:f>'Decrementos Múltiples'!$I$26</c:f>
              <c:strCache>
                <c:ptCount val="1"/>
                <c:pt idx="0">
                  <c:v>nqx</c:v>
                </c:pt>
              </c:strCache>
            </c:strRef>
          </c:tx>
          <c:spPr>
            <a:ln cmpd="sng">
              <a:solidFill>
                <a:srgbClr val="7030A0"/>
              </a:solidFill>
            </a:ln>
          </c:spPr>
          <c:marker>
            <c:symbol val="none"/>
          </c:marker>
          <c:cat>
            <c:numRef>
              <c:f>'Decrementos Múltiples'!$B$27:$B$45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</c:v>
                </c:pt>
              </c:numCache>
            </c:numRef>
          </c:cat>
          <c:val>
            <c:numRef>
              <c:f>'Decrementos Múltiples'!$I$27:$I$45</c:f>
              <c:numCache>
                <c:formatCode>0.0000</c:formatCode>
                <c:ptCount val="19"/>
                <c:pt idx="0">
                  <c:v>1.1658116787145678E-2</c:v>
                </c:pt>
                <c:pt idx="1">
                  <c:v>2.2018438403418328E-3</c:v>
                </c:pt>
                <c:pt idx="2">
                  <c:v>1.2823647999808951E-3</c:v>
                </c:pt>
                <c:pt idx="3">
                  <c:v>1.234183352629703E-3</c:v>
                </c:pt>
                <c:pt idx="4">
                  <c:v>2.1115484101800197E-3</c:v>
                </c:pt>
                <c:pt idx="5">
                  <c:v>2.8160809486491578E-3</c:v>
                </c:pt>
                <c:pt idx="6">
                  <c:v>3.8791963084334746E-3</c:v>
                </c:pt>
                <c:pt idx="7">
                  <c:v>5.0987033554714678E-3</c:v>
                </c:pt>
                <c:pt idx="8">
                  <c:v>6.2154948630762652E-3</c:v>
                </c:pt>
                <c:pt idx="9">
                  <c:v>9.4941188249387798E-3</c:v>
                </c:pt>
                <c:pt idx="10">
                  <c:v>1.5858144341923452E-2</c:v>
                </c:pt>
                <c:pt idx="11">
                  <c:v>2.1564907661930421E-2</c:v>
                </c:pt>
                <c:pt idx="12">
                  <c:v>3.6965486495523336E-2</c:v>
                </c:pt>
                <c:pt idx="13">
                  <c:v>5.5716851444235882E-2</c:v>
                </c:pt>
                <c:pt idx="14">
                  <c:v>8.000479629086843E-2</c:v>
                </c:pt>
                <c:pt idx="15">
                  <c:v>0.11775273703963895</c:v>
                </c:pt>
                <c:pt idx="16">
                  <c:v>0.17965454788559498</c:v>
                </c:pt>
                <c:pt idx="17">
                  <c:v>0.285124281688234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6C-4C89-BC98-A132EBEA28B0}"/>
            </c:ext>
          </c:extLst>
        </c:ser>
        <c:ser>
          <c:idx val="1"/>
          <c:order val="1"/>
          <c:tx>
            <c:strRef>
              <c:f>'Decrementos Múltiples'!$M$26</c:f>
              <c:strCache>
                <c:ptCount val="1"/>
                <c:pt idx="0">
                  <c:v>nqx_i</c:v>
                </c:pt>
              </c:strCache>
            </c:strRef>
          </c:tx>
          <c:spPr>
            <a:ln cmpd="sng"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cat>
            <c:numRef>
              <c:f>'Decrementos Múltiples'!$B$27:$B$45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</c:v>
                </c:pt>
              </c:numCache>
            </c:numRef>
          </c:cat>
          <c:val>
            <c:numRef>
              <c:f>'Decrementos Múltiples'!$M$27:$M$45</c:f>
              <c:numCache>
                <c:formatCode>#,##0.0000</c:formatCode>
                <c:ptCount val="19"/>
                <c:pt idx="0">
                  <c:v>1.1658116787145678E-2</c:v>
                </c:pt>
                <c:pt idx="1">
                  <c:v>2.2018438403418328E-3</c:v>
                </c:pt>
                <c:pt idx="2">
                  <c:v>1.2823647999808951E-3</c:v>
                </c:pt>
                <c:pt idx="3">
                  <c:v>1.1999210584420217E-3</c:v>
                </c:pt>
                <c:pt idx="4">
                  <c:v>1.9427887400578214E-3</c:v>
                </c:pt>
                <c:pt idx="5">
                  <c:v>2.557191844115958E-3</c:v>
                </c:pt>
                <c:pt idx="6">
                  <c:v>3.530561198965998E-3</c:v>
                </c:pt>
                <c:pt idx="7">
                  <c:v>4.8131026399197419E-3</c:v>
                </c:pt>
                <c:pt idx="8">
                  <c:v>6.035227212522587E-3</c:v>
                </c:pt>
                <c:pt idx="9">
                  <c:v>9.2442886494726872E-3</c:v>
                </c:pt>
                <c:pt idx="10">
                  <c:v>1.439363863869092E-2</c:v>
                </c:pt>
                <c:pt idx="11">
                  <c:v>2.1430863590934046E-2</c:v>
                </c:pt>
                <c:pt idx="12">
                  <c:v>3.6805978440288767E-2</c:v>
                </c:pt>
                <c:pt idx="13">
                  <c:v>5.5611881947473241E-2</c:v>
                </c:pt>
                <c:pt idx="14">
                  <c:v>7.981314733133138E-2</c:v>
                </c:pt>
                <c:pt idx="15">
                  <c:v>0.11762750476237782</c:v>
                </c:pt>
                <c:pt idx="16">
                  <c:v>0.17954462658398485</c:v>
                </c:pt>
                <c:pt idx="17">
                  <c:v>0.28505305653618451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6C-4C89-BC98-A132EBEA28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5733113"/>
        <c:axId val="33690205"/>
      </c:lineChart>
      <c:catAx>
        <c:axId val="8157331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bg1">
                <a:lumMod val="85000"/>
              </a:schemeClr>
            </a:solidFill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3690205"/>
        <c:crosses val="autoZero"/>
        <c:auto val="1"/>
        <c:lblAlgn val="ctr"/>
        <c:lblOffset val="100"/>
        <c:noMultiLvlLbl val="1"/>
      </c:catAx>
      <c:valAx>
        <c:axId val="33690205"/>
        <c:scaling>
          <c:logBase val="10"/>
          <c:orientation val="minMax"/>
          <c:max val="1"/>
          <c:min val="8.0000000000000026E-4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MX" b="0">
                    <a:solidFill>
                      <a:srgbClr val="000000"/>
                    </a:solidFill>
                    <a:latin typeface="+mn-lt"/>
                  </a:rPr>
                  <a:t>nqx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spPr>
          <a:ln>
            <a:solidFill>
              <a:schemeClr val="bg1">
                <a:lumMod val="85000"/>
              </a:schemeClr>
            </a:solidFill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15733113"/>
        <c:crosses val="autoZero"/>
        <c:crossBetween val="between"/>
      </c:valAx>
      <c:spPr>
        <a:ln>
          <a:solidFill>
            <a:schemeClr val="bg1">
              <a:lumMod val="85000"/>
            </a:schemeClr>
          </a:solidFill>
        </a:ln>
      </c:spPr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s-MX" b="0">
                <a:solidFill>
                  <a:srgbClr val="757575"/>
                </a:solidFill>
                <a:latin typeface="+mn-lt"/>
              </a:rPr>
              <a:t>Hombres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'Decrementos Múltiples'!$I$3</c:f>
              <c:strCache>
                <c:ptCount val="1"/>
                <c:pt idx="0">
                  <c:v>nqx</c:v>
                </c:pt>
              </c:strCache>
            </c:strRef>
          </c:tx>
          <c:spPr>
            <a:ln cmpd="sng">
              <a:solidFill>
                <a:srgbClr val="1CADE4"/>
              </a:solidFill>
            </a:ln>
          </c:spPr>
          <c:marker>
            <c:symbol val="none"/>
          </c:marker>
          <c:cat>
            <c:numRef>
              <c:f>'Decrementos Múltiples'!$B$4:$B$22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</c:v>
                </c:pt>
              </c:numCache>
            </c:numRef>
          </c:cat>
          <c:val>
            <c:numRef>
              <c:f>'Decrementos Múltiples'!$I$4:$I$22</c:f>
              <c:numCache>
                <c:formatCode>0.0000</c:formatCode>
                <c:ptCount val="19"/>
                <c:pt idx="0">
                  <c:v>1.2987401633607565E-2</c:v>
                </c:pt>
                <c:pt idx="1">
                  <c:v>2.4273879628705641E-3</c:v>
                </c:pt>
                <c:pt idx="2">
                  <c:v>1.5363075861709596E-3</c:v>
                </c:pt>
                <c:pt idx="3">
                  <c:v>1.7403808295625156E-3</c:v>
                </c:pt>
                <c:pt idx="4">
                  <c:v>5.1137522588132756E-3</c:v>
                </c:pt>
                <c:pt idx="5">
                  <c:v>1.083163242855345E-2</c:v>
                </c:pt>
                <c:pt idx="6">
                  <c:v>1.5193659884542798E-2</c:v>
                </c:pt>
                <c:pt idx="7">
                  <c:v>1.5757969678189765E-2</c:v>
                </c:pt>
                <c:pt idx="8">
                  <c:v>1.7719887697335124E-2</c:v>
                </c:pt>
                <c:pt idx="9">
                  <c:v>2.1634282201835608E-2</c:v>
                </c:pt>
                <c:pt idx="10">
                  <c:v>2.9482000626570248E-2</c:v>
                </c:pt>
                <c:pt idx="11">
                  <c:v>3.9694897560847209E-2</c:v>
                </c:pt>
                <c:pt idx="12">
                  <c:v>5.7288220254539945E-2</c:v>
                </c:pt>
                <c:pt idx="13">
                  <c:v>8.1165452653485959E-2</c:v>
                </c:pt>
                <c:pt idx="14">
                  <c:v>0.10507802602357896</c:v>
                </c:pt>
                <c:pt idx="15">
                  <c:v>0.151855158094092</c:v>
                </c:pt>
                <c:pt idx="16">
                  <c:v>0.22096482452013899</c:v>
                </c:pt>
                <c:pt idx="17">
                  <c:v>0.32921399908163496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C1-48E1-8821-F8F4BBC87448}"/>
            </c:ext>
          </c:extLst>
        </c:ser>
        <c:ser>
          <c:idx val="1"/>
          <c:order val="1"/>
          <c:tx>
            <c:strRef>
              <c:f>'Decrementos Múltiples'!$M$3</c:f>
              <c:strCache>
                <c:ptCount val="1"/>
                <c:pt idx="0">
                  <c:v>nqx_i</c:v>
                </c:pt>
              </c:strCache>
            </c:strRef>
          </c:tx>
          <c:spPr>
            <a:ln cmpd="sng">
              <a:solidFill>
                <a:srgbClr val="2683C6"/>
              </a:solidFill>
            </a:ln>
          </c:spPr>
          <c:marker>
            <c:symbol val="none"/>
          </c:marker>
          <c:cat>
            <c:numRef>
              <c:f>'Decrementos Múltiples'!$B$4:$B$22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</c:v>
                </c:pt>
              </c:numCache>
            </c:numRef>
          </c:cat>
          <c:val>
            <c:numRef>
              <c:f>'Decrementos Múltiples'!$M$4:$M$22</c:f>
              <c:numCache>
                <c:formatCode>#,##0.0000</c:formatCode>
                <c:ptCount val="19"/>
                <c:pt idx="0">
                  <c:v>1.2952072389167402E-2</c:v>
                </c:pt>
                <c:pt idx="1">
                  <c:v>2.3635358784341864E-3</c:v>
                </c:pt>
                <c:pt idx="2">
                  <c:v>1.5237148353367536E-3</c:v>
                </c:pt>
                <c:pt idx="3">
                  <c:v>1.7012744226574394E-3</c:v>
                </c:pt>
                <c:pt idx="4">
                  <c:v>4.5552829835828756E-3</c:v>
                </c:pt>
                <c:pt idx="5">
                  <c:v>8.3824890746356795E-3</c:v>
                </c:pt>
                <c:pt idx="6">
                  <c:v>1.1205233362670985E-2</c:v>
                </c:pt>
                <c:pt idx="7">
                  <c:v>1.2467675363256214E-2</c:v>
                </c:pt>
                <c:pt idx="8">
                  <c:v>1.5170839314713191E-2</c:v>
                </c:pt>
                <c:pt idx="9">
                  <c:v>1.9748671703935239E-2</c:v>
                </c:pt>
                <c:pt idx="10">
                  <c:v>-2.8523570337315451E-3</c:v>
                </c:pt>
                <c:pt idx="11">
                  <c:v>3.7994400824181707E-2</c:v>
                </c:pt>
                <c:pt idx="12">
                  <c:v>5.601160712884945E-2</c:v>
                </c:pt>
                <c:pt idx="13">
                  <c:v>8.0239372244907514E-2</c:v>
                </c:pt>
                <c:pt idx="14">
                  <c:v>0.10423141797808511</c:v>
                </c:pt>
                <c:pt idx="15">
                  <c:v>0.15103748577635634</c:v>
                </c:pt>
                <c:pt idx="16">
                  <c:v>0.22055610672884385</c:v>
                </c:pt>
                <c:pt idx="17">
                  <c:v>0.32897012152301253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C1-48E1-8821-F8F4BBC874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5733113"/>
        <c:axId val="33690205"/>
      </c:lineChart>
      <c:catAx>
        <c:axId val="8157331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bg1">
                <a:lumMod val="85000"/>
              </a:schemeClr>
            </a:solidFill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3690205"/>
        <c:crosses val="autoZero"/>
        <c:auto val="1"/>
        <c:lblAlgn val="ctr"/>
        <c:lblOffset val="100"/>
        <c:noMultiLvlLbl val="1"/>
      </c:catAx>
      <c:valAx>
        <c:axId val="33690205"/>
        <c:scaling>
          <c:logBase val="10"/>
          <c:orientation val="minMax"/>
          <c:max val="1"/>
          <c:min val="8.0000000000000026E-4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MX" b="0">
                    <a:solidFill>
                      <a:srgbClr val="000000"/>
                    </a:solidFill>
                    <a:latin typeface="+mn-lt"/>
                  </a:rPr>
                  <a:t>nqx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spPr>
          <a:ln>
            <a:solidFill>
              <a:schemeClr val="bg1">
                <a:lumMod val="85000"/>
              </a:schemeClr>
            </a:solidFill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15733113"/>
        <c:crosses val="autoZero"/>
        <c:crossBetween val="between"/>
      </c:valAx>
      <c:spPr>
        <a:ln>
          <a:solidFill>
            <a:schemeClr val="bg1">
              <a:lumMod val="85000"/>
            </a:schemeClr>
          </a:solidFill>
        </a:ln>
      </c:spPr>
    </c:plotArea>
    <c:legend>
      <c:legendPos val="b"/>
      <c:overlay val="0"/>
      <c:txPr>
        <a:bodyPr/>
        <a:lstStyle/>
        <a:p>
          <a:pPr lvl="0" rt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Esperanza de vida al nacer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'Decrementos Múltiples'!$Z$27</c:f>
              <c:strCache>
                <c:ptCount val="1"/>
                <c:pt idx="0">
                  <c:v>Sin homicidios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'Decrementos Múltiples'!$AA$26:$AB$26</c:f>
              <c:strCache>
                <c:ptCount val="2"/>
                <c:pt idx="0">
                  <c:v>Hombres</c:v>
                </c:pt>
                <c:pt idx="1">
                  <c:v>Mujeres</c:v>
                </c:pt>
              </c:strCache>
            </c:strRef>
          </c:cat>
          <c:val>
            <c:numRef>
              <c:f>'Decrementos Múltiples'!$AA$27:$AB$27</c:f>
              <c:numCache>
                <c:formatCode>0.00</c:formatCode>
                <c:ptCount val="2"/>
                <c:pt idx="0">
                  <c:v>74.311694974053367</c:v>
                </c:pt>
                <c:pt idx="1">
                  <c:v>78.592707038285411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21-4E1F-B40D-4C87AF510C15}"/>
            </c:ext>
          </c:extLst>
        </c:ser>
        <c:ser>
          <c:idx val="1"/>
          <c:order val="1"/>
          <c:tx>
            <c:strRef>
              <c:f>'Decrementos Múltiples'!$Z$28</c:f>
              <c:strCache>
                <c:ptCount val="1"/>
                <c:pt idx="0">
                  <c:v>Con homicidios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'Decrementos Múltiples'!$AA$26:$AB$26</c:f>
              <c:strCache>
                <c:ptCount val="2"/>
                <c:pt idx="0">
                  <c:v>Hombres</c:v>
                </c:pt>
                <c:pt idx="1">
                  <c:v>Mujeres</c:v>
                </c:pt>
              </c:strCache>
            </c:strRef>
          </c:cat>
          <c:val>
            <c:numRef>
              <c:f>'Decrementos Múltiples'!$AA$28:$AB$28</c:f>
              <c:numCache>
                <c:formatCode>0.00</c:formatCode>
                <c:ptCount val="2"/>
                <c:pt idx="0">
                  <c:v>72.6280202304429</c:v>
                </c:pt>
                <c:pt idx="1">
                  <c:v>78.396350433541699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21-4E1F-B40D-4C87AF510C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5771184"/>
        <c:axId val="1065771544"/>
      </c:barChart>
      <c:catAx>
        <c:axId val="1065771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771544"/>
        <c:crosses val="autoZero"/>
        <c:auto val="1"/>
        <c:lblAlgn val="ctr"/>
        <c:lblOffset val="100"/>
        <c:noMultiLvlLbl val="0"/>
      </c:catAx>
      <c:valAx>
        <c:axId val="106577154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1065771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12" Type="http://schemas.openxmlformats.org/officeDocument/2006/relationships/chart" Target="../charts/chart3.xml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image" Target="../media/image5.png"/><Relationship Id="rId11" Type="http://schemas.openxmlformats.org/officeDocument/2006/relationships/chart" Target="../charts/chart2.xml"/><Relationship Id="rId5" Type="http://schemas.openxmlformats.org/officeDocument/2006/relationships/image" Target="../media/image4.png"/><Relationship Id="rId10" Type="http://schemas.openxmlformats.org/officeDocument/2006/relationships/image" Target="../media/image9.png"/><Relationship Id="rId4" Type="http://schemas.openxmlformats.org/officeDocument/2006/relationships/image" Target="../media/image3.png"/><Relationship Id="rId9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30</xdr:col>
      <xdr:colOff>521336</xdr:colOff>
      <xdr:row>2</xdr:row>
      <xdr:rowOff>47815</xdr:rowOff>
    </xdr:from>
    <xdr:ext cx="5696712" cy="4636008"/>
    <xdr:graphicFrame macro="">
      <xdr:nvGraphicFramePr>
        <xdr:cNvPr id="2" name="Chart 2" title="Chart">
          <a:extLst>
            <a:ext uri="{FF2B5EF4-FFF2-40B4-BE49-F238E27FC236}">
              <a16:creationId xmlns:a16="http://schemas.microsoft.com/office/drawing/2014/main" id="{A2813091-B9B9-4616-9A07-002301DB4A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</xdr:col>
      <xdr:colOff>349250</xdr:colOff>
      <xdr:row>25</xdr:row>
      <xdr:rowOff>66675</xdr:rowOff>
    </xdr:from>
    <xdr:ext cx="323850" cy="266700"/>
    <xdr:pic>
      <xdr:nvPicPr>
        <xdr:cNvPr id="3" name="image9.png" title="Image">
          <a:extLst>
            <a:ext uri="{FF2B5EF4-FFF2-40B4-BE49-F238E27FC236}">
              <a16:creationId xmlns:a16="http://schemas.microsoft.com/office/drawing/2014/main" id="{D2CD3BDD-EEE3-4959-B8FD-65F1EF8E8EF5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14570" y="5050155"/>
          <a:ext cx="323850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419100</xdr:colOff>
      <xdr:row>25</xdr:row>
      <xdr:rowOff>71438</xdr:rowOff>
    </xdr:from>
    <xdr:ext cx="171450" cy="257175"/>
    <xdr:pic>
      <xdr:nvPicPr>
        <xdr:cNvPr id="4" name="image8.png" title="Image">
          <a:extLst>
            <a:ext uri="{FF2B5EF4-FFF2-40B4-BE49-F238E27FC236}">
              <a16:creationId xmlns:a16="http://schemas.microsoft.com/office/drawing/2014/main" id="{3B662AE5-0D08-41E2-9B95-6C5DCDF094E2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882640" y="5054918"/>
          <a:ext cx="171450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304800</xdr:colOff>
      <xdr:row>25</xdr:row>
      <xdr:rowOff>71438</xdr:rowOff>
    </xdr:from>
    <xdr:ext cx="381000" cy="257175"/>
    <xdr:pic>
      <xdr:nvPicPr>
        <xdr:cNvPr id="5" name="image6.png" title="Image">
          <a:extLst>
            <a:ext uri="{FF2B5EF4-FFF2-40B4-BE49-F238E27FC236}">
              <a16:creationId xmlns:a16="http://schemas.microsoft.com/office/drawing/2014/main" id="{294528E4-9FE8-49CA-BAD0-7FC381647234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766560" y="5054918"/>
          <a:ext cx="381000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330200</xdr:colOff>
      <xdr:row>25</xdr:row>
      <xdr:rowOff>71438</xdr:rowOff>
    </xdr:from>
    <xdr:ext cx="381000" cy="257175"/>
    <xdr:pic>
      <xdr:nvPicPr>
        <xdr:cNvPr id="6" name="image7.png" title="Image">
          <a:extLst>
            <a:ext uri="{FF2B5EF4-FFF2-40B4-BE49-F238E27FC236}">
              <a16:creationId xmlns:a16="http://schemas.microsoft.com/office/drawing/2014/main" id="{162314BD-2ADE-4892-B563-7E0DDB3E3912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8788400" y="5054918"/>
          <a:ext cx="381000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330200</xdr:colOff>
      <xdr:row>25</xdr:row>
      <xdr:rowOff>71438</xdr:rowOff>
    </xdr:from>
    <xdr:ext cx="352425" cy="257175"/>
    <xdr:pic>
      <xdr:nvPicPr>
        <xdr:cNvPr id="7" name="image2.png" title="Image">
          <a:extLst>
            <a:ext uri="{FF2B5EF4-FFF2-40B4-BE49-F238E27FC236}">
              <a16:creationId xmlns:a16="http://schemas.microsoft.com/office/drawing/2014/main" id="{3F41C05E-6AD8-4F6F-9883-D11E0DAD04C5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9786620" y="5054918"/>
          <a:ext cx="352425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292100</xdr:colOff>
      <xdr:row>25</xdr:row>
      <xdr:rowOff>66675</xdr:rowOff>
    </xdr:from>
    <xdr:ext cx="476250" cy="266700"/>
    <xdr:pic>
      <xdr:nvPicPr>
        <xdr:cNvPr id="8" name="image5.png" title="Image">
          <a:extLst>
            <a:ext uri="{FF2B5EF4-FFF2-40B4-BE49-F238E27FC236}">
              <a16:creationId xmlns:a16="http://schemas.microsoft.com/office/drawing/2014/main" id="{138A16C5-2CDD-4ED0-9C1C-C8C1FD9B709C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0746740" y="5050155"/>
          <a:ext cx="476250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292100</xdr:colOff>
      <xdr:row>25</xdr:row>
      <xdr:rowOff>66675</xdr:rowOff>
    </xdr:from>
    <xdr:ext cx="390525" cy="266700"/>
    <xdr:pic>
      <xdr:nvPicPr>
        <xdr:cNvPr id="9" name="image4.png" title="Image">
          <a:extLst>
            <a:ext uri="{FF2B5EF4-FFF2-40B4-BE49-F238E27FC236}">
              <a16:creationId xmlns:a16="http://schemas.microsoft.com/office/drawing/2014/main" id="{F65E95F6-07E0-4368-B116-3D9D8F6C1B06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2743180" y="5050155"/>
          <a:ext cx="39052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292100</xdr:colOff>
      <xdr:row>25</xdr:row>
      <xdr:rowOff>66675</xdr:rowOff>
    </xdr:from>
    <xdr:ext cx="476250" cy="266700"/>
    <xdr:pic>
      <xdr:nvPicPr>
        <xdr:cNvPr id="10" name="image3.png" title="Image">
          <a:extLst>
            <a:ext uri="{FF2B5EF4-FFF2-40B4-BE49-F238E27FC236}">
              <a16:creationId xmlns:a16="http://schemas.microsoft.com/office/drawing/2014/main" id="{DCCFC400-DC05-43A0-971A-28A21C57A535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4739620" y="5050155"/>
          <a:ext cx="476250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18</xdr:col>
      <xdr:colOff>254000</xdr:colOff>
      <xdr:row>25</xdr:row>
      <xdr:rowOff>66675</xdr:rowOff>
    </xdr:from>
    <xdr:ext cx="428625" cy="266700"/>
    <xdr:pic>
      <xdr:nvPicPr>
        <xdr:cNvPr id="11" name="image1.png" title="Image">
          <a:extLst>
            <a:ext uri="{FF2B5EF4-FFF2-40B4-BE49-F238E27FC236}">
              <a16:creationId xmlns:a16="http://schemas.microsoft.com/office/drawing/2014/main" id="{1B359F48-B479-40AF-89E5-A04E56FC7717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7696180" y="5050155"/>
          <a:ext cx="42862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342900</xdr:colOff>
      <xdr:row>2</xdr:row>
      <xdr:rowOff>74613</xdr:rowOff>
    </xdr:from>
    <xdr:ext cx="381000" cy="257175"/>
    <xdr:pic>
      <xdr:nvPicPr>
        <xdr:cNvPr id="12" name="image7.png" title="Image">
          <a:extLst>
            <a:ext uri="{FF2B5EF4-FFF2-40B4-BE49-F238E27FC236}">
              <a16:creationId xmlns:a16="http://schemas.microsoft.com/office/drawing/2014/main" id="{7B47C834-316F-4C79-B1C0-D0EB79E357F6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8801100" y="455613"/>
          <a:ext cx="381000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304800</xdr:colOff>
      <xdr:row>2</xdr:row>
      <xdr:rowOff>74613</xdr:rowOff>
    </xdr:from>
    <xdr:ext cx="352425" cy="257175"/>
    <xdr:pic>
      <xdr:nvPicPr>
        <xdr:cNvPr id="13" name="image2.png" title="Image">
          <a:extLst>
            <a:ext uri="{FF2B5EF4-FFF2-40B4-BE49-F238E27FC236}">
              <a16:creationId xmlns:a16="http://schemas.microsoft.com/office/drawing/2014/main" id="{8358A8B0-481A-4AAE-9255-D076AE079C0E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9761220" y="455613"/>
          <a:ext cx="352425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381000</xdr:colOff>
      <xdr:row>2</xdr:row>
      <xdr:rowOff>69850</xdr:rowOff>
    </xdr:from>
    <xdr:ext cx="323850" cy="266700"/>
    <xdr:pic>
      <xdr:nvPicPr>
        <xdr:cNvPr id="14" name="image9.png" title="Image">
          <a:extLst>
            <a:ext uri="{FF2B5EF4-FFF2-40B4-BE49-F238E27FC236}">
              <a16:creationId xmlns:a16="http://schemas.microsoft.com/office/drawing/2014/main" id="{0B195189-545B-4854-920E-E2FFA6E128F2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46320" y="450850"/>
          <a:ext cx="323850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374650</xdr:colOff>
      <xdr:row>2</xdr:row>
      <xdr:rowOff>74613</xdr:rowOff>
    </xdr:from>
    <xdr:ext cx="171450" cy="257175"/>
    <xdr:pic>
      <xdr:nvPicPr>
        <xdr:cNvPr id="15" name="image8.png" title="Image">
          <a:extLst>
            <a:ext uri="{FF2B5EF4-FFF2-40B4-BE49-F238E27FC236}">
              <a16:creationId xmlns:a16="http://schemas.microsoft.com/office/drawing/2014/main" id="{F9C21990-E2BF-4EC8-AE8B-2B01A2874933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838190" y="455613"/>
          <a:ext cx="171450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349250</xdr:colOff>
      <xdr:row>2</xdr:row>
      <xdr:rowOff>74613</xdr:rowOff>
    </xdr:from>
    <xdr:ext cx="381000" cy="257175"/>
    <xdr:pic>
      <xdr:nvPicPr>
        <xdr:cNvPr id="16" name="image6.png" title="Image">
          <a:extLst>
            <a:ext uri="{FF2B5EF4-FFF2-40B4-BE49-F238E27FC236}">
              <a16:creationId xmlns:a16="http://schemas.microsoft.com/office/drawing/2014/main" id="{A6EA6830-684D-4648-B1C0-C3EAC8144285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811010" y="455613"/>
          <a:ext cx="381000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317500</xdr:colOff>
      <xdr:row>2</xdr:row>
      <xdr:rowOff>57150</xdr:rowOff>
    </xdr:from>
    <xdr:ext cx="476250" cy="266700"/>
    <xdr:pic>
      <xdr:nvPicPr>
        <xdr:cNvPr id="17" name="image5.png" title="Image">
          <a:extLst>
            <a:ext uri="{FF2B5EF4-FFF2-40B4-BE49-F238E27FC236}">
              <a16:creationId xmlns:a16="http://schemas.microsoft.com/office/drawing/2014/main" id="{7914205B-67B6-4953-A192-E1569635120E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0772140" y="438150"/>
          <a:ext cx="476250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13</xdr:col>
      <xdr:colOff>342900</xdr:colOff>
      <xdr:row>2</xdr:row>
      <xdr:rowOff>57150</xdr:rowOff>
    </xdr:from>
    <xdr:ext cx="390525" cy="266700"/>
    <xdr:pic>
      <xdr:nvPicPr>
        <xdr:cNvPr id="18" name="image4.png" title="Image">
          <a:extLst>
            <a:ext uri="{FF2B5EF4-FFF2-40B4-BE49-F238E27FC236}">
              <a16:creationId xmlns:a16="http://schemas.microsoft.com/office/drawing/2014/main" id="{D0B3CBE9-6ACF-4DD8-A2C3-C02AF28BA72F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2793980" y="438150"/>
          <a:ext cx="39052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317500</xdr:colOff>
      <xdr:row>2</xdr:row>
      <xdr:rowOff>57150</xdr:rowOff>
    </xdr:from>
    <xdr:ext cx="476250" cy="266700"/>
    <xdr:pic>
      <xdr:nvPicPr>
        <xdr:cNvPr id="19" name="image3.png" title="Image">
          <a:extLst>
            <a:ext uri="{FF2B5EF4-FFF2-40B4-BE49-F238E27FC236}">
              <a16:creationId xmlns:a16="http://schemas.microsoft.com/office/drawing/2014/main" id="{A124856A-1E86-4794-BDEA-464418C1FB9A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4765020" y="438150"/>
          <a:ext cx="476250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18</xdr:col>
      <xdr:colOff>317500</xdr:colOff>
      <xdr:row>2</xdr:row>
      <xdr:rowOff>57150</xdr:rowOff>
    </xdr:from>
    <xdr:ext cx="428625" cy="266700"/>
    <xdr:pic>
      <xdr:nvPicPr>
        <xdr:cNvPr id="20" name="image1.png" title="Image">
          <a:extLst>
            <a:ext uri="{FF2B5EF4-FFF2-40B4-BE49-F238E27FC236}">
              <a16:creationId xmlns:a16="http://schemas.microsoft.com/office/drawing/2014/main" id="{56171901-2615-4D71-8498-27D28CFD461F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7759680" y="438150"/>
          <a:ext cx="42862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23</xdr:col>
      <xdr:colOff>841374</xdr:colOff>
      <xdr:row>2</xdr:row>
      <xdr:rowOff>0</xdr:rowOff>
    </xdr:from>
    <xdr:ext cx="5699126" cy="4635500"/>
    <xdr:graphicFrame macro="">
      <xdr:nvGraphicFramePr>
        <xdr:cNvPr id="21" name="Chart 2" title="Chart">
          <a:extLst>
            <a:ext uri="{FF2B5EF4-FFF2-40B4-BE49-F238E27FC236}">
              <a16:creationId xmlns:a16="http://schemas.microsoft.com/office/drawing/2014/main" id="{F18F07A6-3907-4C06-A918-03C55F6B8E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 fLocksWithSheet="0"/>
  </xdr:oneCellAnchor>
  <xdr:twoCellAnchor>
    <xdr:from>
      <xdr:col>26</xdr:col>
      <xdr:colOff>506940</xdr:colOff>
      <xdr:row>29</xdr:row>
      <xdr:rowOff>38100</xdr:rowOff>
    </xdr:from>
    <xdr:to>
      <xdr:col>32</xdr:col>
      <xdr:colOff>736600</xdr:colOff>
      <xdr:row>44</xdr:row>
      <xdr:rowOff>177801</xdr:rowOff>
    </xdr:to>
    <xdr:graphicFrame macro="">
      <xdr:nvGraphicFramePr>
        <xdr:cNvPr id="22" name="Chart 33">
          <a:extLst>
            <a:ext uri="{FF2B5EF4-FFF2-40B4-BE49-F238E27FC236}">
              <a16:creationId xmlns:a16="http://schemas.microsoft.com/office/drawing/2014/main" id="{E0E07E74-74FE-4F5B-B884-EA20FA53CF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oneCellAnchor>
    <xdr:from>
      <xdr:col>9</xdr:col>
      <xdr:colOff>342900</xdr:colOff>
      <xdr:row>2</xdr:row>
      <xdr:rowOff>74613</xdr:rowOff>
    </xdr:from>
    <xdr:ext cx="381000" cy="257175"/>
    <xdr:pic>
      <xdr:nvPicPr>
        <xdr:cNvPr id="23" name="image7.png" title="Image">
          <a:extLst>
            <a:ext uri="{FF2B5EF4-FFF2-40B4-BE49-F238E27FC236}">
              <a16:creationId xmlns:a16="http://schemas.microsoft.com/office/drawing/2014/main" id="{B35144EB-C9B2-4C26-9CC0-0E6FFA74C5D3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8801100" y="455613"/>
          <a:ext cx="381000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304800</xdr:colOff>
      <xdr:row>2</xdr:row>
      <xdr:rowOff>74613</xdr:rowOff>
    </xdr:from>
    <xdr:ext cx="352425" cy="257175"/>
    <xdr:pic>
      <xdr:nvPicPr>
        <xdr:cNvPr id="24" name="image2.png" title="Image">
          <a:extLst>
            <a:ext uri="{FF2B5EF4-FFF2-40B4-BE49-F238E27FC236}">
              <a16:creationId xmlns:a16="http://schemas.microsoft.com/office/drawing/2014/main" id="{4DBB7D9A-22BF-4FE2-BA1C-425A12D18088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9761220" y="455613"/>
          <a:ext cx="352425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381000</xdr:colOff>
      <xdr:row>2</xdr:row>
      <xdr:rowOff>69850</xdr:rowOff>
    </xdr:from>
    <xdr:ext cx="323850" cy="266700"/>
    <xdr:pic>
      <xdr:nvPicPr>
        <xdr:cNvPr id="25" name="image9.png" title="Image">
          <a:extLst>
            <a:ext uri="{FF2B5EF4-FFF2-40B4-BE49-F238E27FC236}">
              <a16:creationId xmlns:a16="http://schemas.microsoft.com/office/drawing/2014/main" id="{C3C8AA78-0075-4114-B641-263E9B31D7CC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46320" y="450850"/>
          <a:ext cx="323850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374650</xdr:colOff>
      <xdr:row>2</xdr:row>
      <xdr:rowOff>74613</xdr:rowOff>
    </xdr:from>
    <xdr:ext cx="171450" cy="257175"/>
    <xdr:pic>
      <xdr:nvPicPr>
        <xdr:cNvPr id="26" name="image8.png" title="Image">
          <a:extLst>
            <a:ext uri="{FF2B5EF4-FFF2-40B4-BE49-F238E27FC236}">
              <a16:creationId xmlns:a16="http://schemas.microsoft.com/office/drawing/2014/main" id="{92C2D268-75AA-4844-AF3A-88B2D977A6DD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838190" y="455613"/>
          <a:ext cx="171450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349250</xdr:colOff>
      <xdr:row>2</xdr:row>
      <xdr:rowOff>74613</xdr:rowOff>
    </xdr:from>
    <xdr:ext cx="381000" cy="257175"/>
    <xdr:pic>
      <xdr:nvPicPr>
        <xdr:cNvPr id="27" name="image6.png" title="Image">
          <a:extLst>
            <a:ext uri="{FF2B5EF4-FFF2-40B4-BE49-F238E27FC236}">
              <a16:creationId xmlns:a16="http://schemas.microsoft.com/office/drawing/2014/main" id="{6B3F6FAA-9983-4703-9589-8361B7BF04D8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811010" y="455613"/>
          <a:ext cx="381000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317500</xdr:colOff>
      <xdr:row>2</xdr:row>
      <xdr:rowOff>57150</xdr:rowOff>
    </xdr:from>
    <xdr:ext cx="476250" cy="266700"/>
    <xdr:pic>
      <xdr:nvPicPr>
        <xdr:cNvPr id="28" name="image5.png" title="Image">
          <a:extLst>
            <a:ext uri="{FF2B5EF4-FFF2-40B4-BE49-F238E27FC236}">
              <a16:creationId xmlns:a16="http://schemas.microsoft.com/office/drawing/2014/main" id="{AD158276-FF70-4F5A-A5B9-6677939069D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0772140" y="438150"/>
          <a:ext cx="476250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13</xdr:col>
      <xdr:colOff>342900</xdr:colOff>
      <xdr:row>2</xdr:row>
      <xdr:rowOff>57150</xdr:rowOff>
    </xdr:from>
    <xdr:ext cx="390525" cy="266700"/>
    <xdr:pic>
      <xdr:nvPicPr>
        <xdr:cNvPr id="29" name="image4.png" title="Image">
          <a:extLst>
            <a:ext uri="{FF2B5EF4-FFF2-40B4-BE49-F238E27FC236}">
              <a16:creationId xmlns:a16="http://schemas.microsoft.com/office/drawing/2014/main" id="{979584F1-81BC-4672-B425-BF9C6A62CECA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2793980" y="438150"/>
          <a:ext cx="39052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317500</xdr:colOff>
      <xdr:row>2</xdr:row>
      <xdr:rowOff>57150</xdr:rowOff>
    </xdr:from>
    <xdr:ext cx="476250" cy="266700"/>
    <xdr:pic>
      <xdr:nvPicPr>
        <xdr:cNvPr id="30" name="image3.png" title="Image">
          <a:extLst>
            <a:ext uri="{FF2B5EF4-FFF2-40B4-BE49-F238E27FC236}">
              <a16:creationId xmlns:a16="http://schemas.microsoft.com/office/drawing/2014/main" id="{5C33A6A2-E6F8-48F0-8954-4473F2845A48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4765020" y="438150"/>
          <a:ext cx="476250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18</xdr:col>
      <xdr:colOff>317500</xdr:colOff>
      <xdr:row>2</xdr:row>
      <xdr:rowOff>57150</xdr:rowOff>
    </xdr:from>
    <xdr:ext cx="428625" cy="266700"/>
    <xdr:pic>
      <xdr:nvPicPr>
        <xdr:cNvPr id="31" name="image1.png" title="Image">
          <a:extLst>
            <a:ext uri="{FF2B5EF4-FFF2-40B4-BE49-F238E27FC236}">
              <a16:creationId xmlns:a16="http://schemas.microsoft.com/office/drawing/2014/main" id="{9B063929-475A-497E-89F0-79425AD496D6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7759680" y="438150"/>
          <a:ext cx="428625" cy="266700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edescolmex-my.sharepoint.com/personal/agpena_colmex_mx/Documents/DEP_22_26/2do%20semestre/Demograf&#237;a%20Matem&#225;tica/Tareas/4.%20TV-COVID-2020.xlsx" TargetMode="External"/><Relationship Id="rId1" Type="http://schemas.openxmlformats.org/officeDocument/2006/relationships/externalLinkPath" Target="https://redescolmex-my.sharepoint.com/personal/agpena_colmex_mx/Documents/DEP_22_26/7mo%20semestre/UNAM/Ejercicios/Excel/4.%20TV-COVID-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D"/>
      <sheetName val="COVID"/>
      <sheetName val="EQ"/>
      <sheetName val="Defunciones"/>
      <sheetName val="TV"/>
    </sheetNames>
    <sheetDataSet>
      <sheetData sheetId="0"/>
      <sheetData sheetId="1">
        <row r="9">
          <cell r="B9">
            <v>208</v>
          </cell>
        </row>
      </sheetData>
      <sheetData sheetId="2"/>
      <sheetData sheetId="3">
        <row r="4">
          <cell r="D4">
            <v>19352</v>
          </cell>
        </row>
      </sheetData>
      <sheetData sheetId="4">
        <row r="4">
          <cell r="G4">
            <v>0.1</v>
          </cell>
        </row>
        <row r="29">
          <cell r="J29">
            <v>100000</v>
          </cell>
          <cell r="M29">
            <v>7544359.8487192011</v>
          </cell>
        </row>
        <row r="47">
          <cell r="M47">
            <v>211789.8627602226</v>
          </cell>
        </row>
        <row r="53">
          <cell r="J53">
            <v>100000</v>
          </cell>
          <cell r="M53">
            <v>6731814.3256840678</v>
          </cell>
        </row>
        <row r="71">
          <cell r="M71">
            <v>91674.680789131889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omi" refreshedDate="46176.650946064816" createdVersion="8" refreshedVersion="8" minRefreshableVersion="3" recordCount="715" xr:uid="{37353377-1A0E-42C6-9030-FCF0A4DC16C1}">
  <cacheSource type="worksheet">
    <worksheetSource ref="A6:G721" sheet="Base defun. por homi"/>
  </cacheSource>
  <cacheFields count="7">
    <cacheField name="Edad" numFmtId="0">
      <sharedItems containsMixedTypes="1" containsNumber="1" containsInteger="1" minValue="0" maxValue="85" count="21">
        <s v="Total"/>
        <n v="0"/>
        <n v="1"/>
        <n v="5"/>
        <n v="10"/>
        <n v="15"/>
        <n v="20"/>
        <n v="25"/>
        <n v="30"/>
        <n v="35"/>
        <n v="40"/>
        <n v="45"/>
        <n v="50"/>
        <n v="55"/>
        <n v="60"/>
        <n v="65"/>
        <n v="70"/>
        <n v="75"/>
        <n v="80"/>
        <n v="85"/>
        <s v="No especificado"/>
      </sharedItems>
    </cacheField>
    <cacheField name="Año" numFmtId="164">
      <sharedItems containsSemiMixedTypes="0" containsString="0" containsNumber="1" containsInteger="1" minValue="1990" maxValue="2024" count="35"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</sharedItems>
    </cacheField>
    <cacheField name="Filtro_Total" numFmtId="164">
      <sharedItems/>
    </cacheField>
    <cacheField name="Total_Muertes" numFmtId="0">
      <sharedItems containsSemiMixedTypes="0" containsString="0" containsNumber="1" containsInteger="1" minValue="1" maxValue="1825"/>
    </cacheField>
    <cacheField name="Hombre" numFmtId="0">
      <sharedItems containsString="0" containsBlank="1" containsNumber="1" containsInteger="1" minValue="1" maxValue="1615"/>
    </cacheField>
    <cacheField name="Mujer" numFmtId="0">
      <sharedItems containsString="0" containsBlank="1" containsNumber="1" containsInteger="1" minValue="1" maxValue="210"/>
    </cacheField>
    <cacheField name="Sexo_No_Especificado" numFmtId="0">
      <sharedItems containsString="0" containsBlank="1" containsNumber="1" containsInteger="1" minValue="1" maxValue="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5">
  <r>
    <x v="0"/>
    <x v="0"/>
    <s v="Total"/>
    <n v="759"/>
    <n v="696"/>
    <n v="62"/>
    <n v="1"/>
  </r>
  <r>
    <x v="0"/>
    <x v="1"/>
    <s v="Total"/>
    <n v="850"/>
    <n v="778"/>
    <n v="72"/>
    <m/>
  </r>
  <r>
    <x v="0"/>
    <x v="2"/>
    <s v="Total"/>
    <n v="733"/>
    <n v="668"/>
    <n v="63"/>
    <n v="2"/>
  </r>
  <r>
    <x v="0"/>
    <x v="3"/>
    <s v="Total"/>
    <n v="706"/>
    <n v="645"/>
    <n v="61"/>
    <m/>
  </r>
  <r>
    <x v="0"/>
    <x v="4"/>
    <s v="Total"/>
    <n v="696"/>
    <n v="644"/>
    <n v="52"/>
    <m/>
  </r>
  <r>
    <x v="0"/>
    <x v="5"/>
    <s v="Total"/>
    <n v="633"/>
    <n v="568"/>
    <n v="63"/>
    <n v="2"/>
  </r>
  <r>
    <x v="0"/>
    <x v="6"/>
    <s v="Total"/>
    <n v="564"/>
    <n v="518"/>
    <n v="46"/>
    <m/>
  </r>
  <r>
    <x v="0"/>
    <x v="7"/>
    <s v="Total"/>
    <n v="651"/>
    <n v="577"/>
    <n v="74"/>
    <m/>
  </r>
  <r>
    <x v="0"/>
    <x v="8"/>
    <s v="Total"/>
    <n v="526"/>
    <n v="474"/>
    <n v="52"/>
    <m/>
  </r>
  <r>
    <x v="0"/>
    <x v="9"/>
    <s v="Total"/>
    <n v="454"/>
    <n v="404"/>
    <n v="50"/>
    <m/>
  </r>
  <r>
    <x v="0"/>
    <x v="10"/>
    <s v="Total"/>
    <n v="433"/>
    <n v="387"/>
    <n v="46"/>
    <m/>
  </r>
  <r>
    <x v="0"/>
    <x v="11"/>
    <s v="Total"/>
    <n v="412"/>
    <n v="360"/>
    <n v="52"/>
    <m/>
  </r>
  <r>
    <x v="0"/>
    <x v="12"/>
    <s v="Total"/>
    <n v="368"/>
    <n v="316"/>
    <n v="51"/>
    <n v="1"/>
  </r>
  <r>
    <x v="0"/>
    <x v="13"/>
    <s v="Total"/>
    <n v="407"/>
    <n v="356"/>
    <n v="51"/>
    <m/>
  </r>
  <r>
    <x v="0"/>
    <x v="14"/>
    <s v="Total"/>
    <n v="345"/>
    <n v="302"/>
    <n v="43"/>
    <m/>
  </r>
  <r>
    <x v="0"/>
    <x v="15"/>
    <s v="Total"/>
    <n v="356"/>
    <n v="307"/>
    <n v="49"/>
    <m/>
  </r>
  <r>
    <x v="0"/>
    <x v="16"/>
    <s v="Total"/>
    <n v="368"/>
    <n v="320"/>
    <n v="48"/>
    <m/>
  </r>
  <r>
    <x v="0"/>
    <x v="17"/>
    <s v="Total"/>
    <n v="375"/>
    <n v="328"/>
    <n v="47"/>
    <m/>
  </r>
  <r>
    <x v="0"/>
    <x v="18"/>
    <s v="Total"/>
    <n v="377"/>
    <n v="316"/>
    <n v="61"/>
    <m/>
  </r>
  <r>
    <x v="0"/>
    <x v="19"/>
    <s v="Total"/>
    <n v="713"/>
    <n v="605"/>
    <n v="107"/>
    <n v="1"/>
  </r>
  <r>
    <x v="0"/>
    <x v="20"/>
    <s v="Total"/>
    <n v="497"/>
    <n v="431"/>
    <n v="65"/>
    <n v="1"/>
  </r>
  <r>
    <x v="0"/>
    <x v="21"/>
    <s v="Total"/>
    <n v="1011"/>
    <n v="860"/>
    <n v="145"/>
    <n v="6"/>
  </r>
  <r>
    <x v="0"/>
    <x v="22"/>
    <s v="Total"/>
    <n v="1028"/>
    <n v="876"/>
    <n v="139"/>
    <n v="13"/>
  </r>
  <r>
    <x v="0"/>
    <x v="23"/>
    <s v="Total"/>
    <n v="794"/>
    <n v="690"/>
    <n v="100"/>
    <n v="4"/>
  </r>
  <r>
    <x v="0"/>
    <x v="24"/>
    <s v="Total"/>
    <n v="923"/>
    <n v="820"/>
    <n v="99"/>
    <n v="4"/>
  </r>
  <r>
    <x v="0"/>
    <x v="25"/>
    <s v="Total"/>
    <n v="1041"/>
    <n v="926"/>
    <n v="113"/>
    <n v="2"/>
  </r>
  <r>
    <x v="0"/>
    <x v="26"/>
    <s v="Total"/>
    <n v="1321"/>
    <n v="1166"/>
    <n v="150"/>
    <n v="5"/>
  </r>
  <r>
    <x v="0"/>
    <x v="27"/>
    <s v="Total"/>
    <n v="1825"/>
    <n v="1615"/>
    <n v="210"/>
    <m/>
  </r>
  <r>
    <x v="0"/>
    <x v="28"/>
    <s v="Total"/>
    <n v="1487"/>
    <n v="1344"/>
    <n v="143"/>
    <m/>
  </r>
  <r>
    <x v="0"/>
    <x v="29"/>
    <s v="Total"/>
    <n v="1470"/>
    <n v="1303"/>
    <n v="167"/>
    <m/>
  </r>
  <r>
    <x v="0"/>
    <x v="30"/>
    <s v="Total"/>
    <n v="1223"/>
    <n v="1080"/>
    <n v="143"/>
    <m/>
  </r>
  <r>
    <x v="0"/>
    <x v="31"/>
    <s v="Total"/>
    <n v="961"/>
    <n v="850"/>
    <n v="111"/>
    <m/>
  </r>
  <r>
    <x v="0"/>
    <x v="32"/>
    <s v="Total"/>
    <n v="812"/>
    <n v="700"/>
    <n v="112"/>
    <m/>
  </r>
  <r>
    <x v="0"/>
    <x v="33"/>
    <s v="Total"/>
    <n v="840"/>
    <n v="744"/>
    <n v="94"/>
    <n v="2"/>
  </r>
  <r>
    <x v="0"/>
    <x v="34"/>
    <s v="Total"/>
    <n v="869"/>
    <n v="759"/>
    <n v="110"/>
    <m/>
  </r>
  <r>
    <x v="1"/>
    <x v="0"/>
    <s v="Total"/>
    <n v="2"/>
    <n v="2"/>
    <m/>
    <m/>
  </r>
  <r>
    <x v="1"/>
    <x v="1"/>
    <s v="Total"/>
    <n v="4"/>
    <n v="3"/>
    <n v="1"/>
    <m/>
  </r>
  <r>
    <x v="1"/>
    <x v="2"/>
    <s v="Total"/>
    <n v="2"/>
    <n v="2"/>
    <m/>
    <m/>
  </r>
  <r>
    <x v="1"/>
    <x v="3"/>
    <s v="Total"/>
    <n v="1"/>
    <n v="1"/>
    <m/>
    <m/>
  </r>
  <r>
    <x v="1"/>
    <x v="4"/>
    <s v="Total"/>
    <n v="3"/>
    <n v="1"/>
    <n v="2"/>
    <m/>
  </r>
  <r>
    <x v="1"/>
    <x v="6"/>
    <s v="Total"/>
    <n v="1"/>
    <n v="1"/>
    <m/>
    <m/>
  </r>
  <r>
    <x v="1"/>
    <x v="7"/>
    <s v="Total"/>
    <n v="4"/>
    <n v="1"/>
    <n v="3"/>
    <m/>
  </r>
  <r>
    <x v="1"/>
    <x v="9"/>
    <s v="Total"/>
    <n v="1"/>
    <m/>
    <n v="1"/>
    <m/>
  </r>
  <r>
    <x v="1"/>
    <x v="10"/>
    <s v="Total"/>
    <n v="1"/>
    <n v="1"/>
    <m/>
    <m/>
  </r>
  <r>
    <x v="1"/>
    <x v="12"/>
    <s v="Total"/>
    <n v="1"/>
    <n v="1"/>
    <m/>
    <m/>
  </r>
  <r>
    <x v="1"/>
    <x v="13"/>
    <s v="Total"/>
    <n v="1"/>
    <m/>
    <n v="1"/>
    <m/>
  </r>
  <r>
    <x v="1"/>
    <x v="14"/>
    <s v="Total"/>
    <n v="2"/>
    <n v="2"/>
    <m/>
    <m/>
  </r>
  <r>
    <x v="1"/>
    <x v="16"/>
    <s v="Total"/>
    <n v="3"/>
    <n v="1"/>
    <n v="2"/>
    <m/>
  </r>
  <r>
    <x v="1"/>
    <x v="17"/>
    <s v="Total"/>
    <n v="1"/>
    <n v="1"/>
    <m/>
    <m/>
  </r>
  <r>
    <x v="1"/>
    <x v="18"/>
    <s v="Total"/>
    <n v="3"/>
    <n v="3"/>
    <m/>
    <m/>
  </r>
  <r>
    <x v="1"/>
    <x v="19"/>
    <s v="Total"/>
    <n v="8"/>
    <n v="6"/>
    <n v="2"/>
    <m/>
  </r>
  <r>
    <x v="1"/>
    <x v="20"/>
    <s v="Total"/>
    <n v="1"/>
    <m/>
    <n v="1"/>
    <m/>
  </r>
  <r>
    <x v="1"/>
    <x v="21"/>
    <s v="Total"/>
    <n v="1"/>
    <m/>
    <n v="1"/>
    <m/>
  </r>
  <r>
    <x v="1"/>
    <x v="22"/>
    <s v="Total"/>
    <n v="1"/>
    <n v="1"/>
    <m/>
    <m/>
  </r>
  <r>
    <x v="1"/>
    <x v="23"/>
    <s v="Total"/>
    <n v="2"/>
    <n v="1"/>
    <n v="1"/>
    <m/>
  </r>
  <r>
    <x v="1"/>
    <x v="25"/>
    <s v="Total"/>
    <n v="1"/>
    <n v="1"/>
    <m/>
    <m/>
  </r>
  <r>
    <x v="1"/>
    <x v="26"/>
    <s v="Total"/>
    <n v="3"/>
    <n v="1"/>
    <n v="2"/>
    <m/>
  </r>
  <r>
    <x v="1"/>
    <x v="27"/>
    <s v="Total"/>
    <n v="1"/>
    <n v="1"/>
    <m/>
    <m/>
  </r>
  <r>
    <x v="1"/>
    <x v="28"/>
    <s v="Total"/>
    <n v="2"/>
    <n v="1"/>
    <n v="1"/>
    <m/>
  </r>
  <r>
    <x v="1"/>
    <x v="29"/>
    <s v="Total"/>
    <n v="2"/>
    <n v="2"/>
    <m/>
    <m/>
  </r>
  <r>
    <x v="1"/>
    <x v="30"/>
    <s v="Total"/>
    <n v="1"/>
    <m/>
    <n v="1"/>
    <m/>
  </r>
  <r>
    <x v="1"/>
    <x v="31"/>
    <s v="Total"/>
    <n v="1"/>
    <m/>
    <n v="1"/>
    <m/>
  </r>
  <r>
    <x v="2"/>
    <x v="0"/>
    <s v="Total"/>
    <n v="3"/>
    <n v="1"/>
    <n v="2"/>
    <m/>
  </r>
  <r>
    <x v="2"/>
    <x v="1"/>
    <s v="Total"/>
    <n v="7"/>
    <n v="5"/>
    <n v="2"/>
    <m/>
  </r>
  <r>
    <x v="2"/>
    <x v="2"/>
    <s v="Total"/>
    <n v="5"/>
    <n v="3"/>
    <n v="2"/>
    <m/>
  </r>
  <r>
    <x v="2"/>
    <x v="3"/>
    <s v="Total"/>
    <n v="2"/>
    <m/>
    <n v="2"/>
    <m/>
  </r>
  <r>
    <x v="2"/>
    <x v="5"/>
    <s v="Total"/>
    <n v="1"/>
    <m/>
    <n v="1"/>
    <m/>
  </r>
  <r>
    <x v="2"/>
    <x v="6"/>
    <s v="Total"/>
    <n v="3"/>
    <n v="1"/>
    <n v="2"/>
    <m/>
  </r>
  <r>
    <x v="2"/>
    <x v="7"/>
    <s v="Total"/>
    <n v="3"/>
    <n v="2"/>
    <n v="1"/>
    <m/>
  </r>
  <r>
    <x v="2"/>
    <x v="8"/>
    <s v="Total"/>
    <n v="2"/>
    <n v="1"/>
    <n v="1"/>
    <m/>
  </r>
  <r>
    <x v="2"/>
    <x v="9"/>
    <s v="Total"/>
    <n v="3"/>
    <n v="3"/>
    <m/>
    <m/>
  </r>
  <r>
    <x v="2"/>
    <x v="10"/>
    <s v="Total"/>
    <n v="4"/>
    <n v="4"/>
    <m/>
    <m/>
  </r>
  <r>
    <x v="2"/>
    <x v="11"/>
    <s v="Total"/>
    <n v="2"/>
    <n v="1"/>
    <n v="1"/>
    <m/>
  </r>
  <r>
    <x v="2"/>
    <x v="12"/>
    <s v="Total"/>
    <n v="3"/>
    <n v="2"/>
    <n v="1"/>
    <m/>
  </r>
  <r>
    <x v="2"/>
    <x v="13"/>
    <s v="Total"/>
    <n v="3"/>
    <m/>
    <n v="3"/>
    <m/>
  </r>
  <r>
    <x v="2"/>
    <x v="15"/>
    <s v="Total"/>
    <n v="4"/>
    <n v="3"/>
    <n v="1"/>
    <m/>
  </r>
  <r>
    <x v="2"/>
    <x v="16"/>
    <s v="Total"/>
    <n v="1"/>
    <m/>
    <n v="1"/>
    <m/>
  </r>
  <r>
    <x v="2"/>
    <x v="17"/>
    <s v="Total"/>
    <n v="2"/>
    <m/>
    <n v="2"/>
    <m/>
  </r>
  <r>
    <x v="2"/>
    <x v="18"/>
    <s v="Total"/>
    <n v="2"/>
    <n v="1"/>
    <n v="1"/>
    <m/>
  </r>
  <r>
    <x v="2"/>
    <x v="19"/>
    <s v="Total"/>
    <n v="15"/>
    <n v="7"/>
    <n v="8"/>
    <m/>
  </r>
  <r>
    <x v="2"/>
    <x v="20"/>
    <s v="Total"/>
    <n v="1"/>
    <n v="1"/>
    <m/>
    <m/>
  </r>
  <r>
    <x v="2"/>
    <x v="21"/>
    <s v="Total"/>
    <n v="3"/>
    <n v="3"/>
    <m/>
    <m/>
  </r>
  <r>
    <x v="2"/>
    <x v="22"/>
    <s v="Total"/>
    <n v="4"/>
    <n v="3"/>
    <n v="1"/>
    <m/>
  </r>
  <r>
    <x v="2"/>
    <x v="23"/>
    <s v="Total"/>
    <n v="4"/>
    <n v="3"/>
    <n v="1"/>
    <m/>
  </r>
  <r>
    <x v="2"/>
    <x v="24"/>
    <s v="Total"/>
    <n v="1"/>
    <m/>
    <n v="1"/>
    <m/>
  </r>
  <r>
    <x v="2"/>
    <x v="25"/>
    <s v="Total"/>
    <n v="1"/>
    <m/>
    <n v="1"/>
    <m/>
  </r>
  <r>
    <x v="2"/>
    <x v="27"/>
    <s v="Total"/>
    <n v="2"/>
    <m/>
    <n v="2"/>
    <m/>
  </r>
  <r>
    <x v="2"/>
    <x v="28"/>
    <s v="Total"/>
    <n v="2"/>
    <n v="1"/>
    <n v="1"/>
    <m/>
  </r>
  <r>
    <x v="2"/>
    <x v="29"/>
    <s v="Total"/>
    <n v="4"/>
    <n v="4"/>
    <m/>
    <m/>
  </r>
  <r>
    <x v="2"/>
    <x v="30"/>
    <s v="Total"/>
    <n v="1"/>
    <n v="1"/>
    <m/>
    <m/>
  </r>
  <r>
    <x v="2"/>
    <x v="31"/>
    <s v="Total"/>
    <n v="2"/>
    <n v="2"/>
    <m/>
    <m/>
  </r>
  <r>
    <x v="2"/>
    <x v="32"/>
    <s v="Total"/>
    <n v="3"/>
    <n v="2"/>
    <n v="1"/>
    <m/>
  </r>
  <r>
    <x v="2"/>
    <x v="33"/>
    <s v="Total"/>
    <n v="3"/>
    <n v="3"/>
    <m/>
    <m/>
  </r>
  <r>
    <x v="2"/>
    <x v="34"/>
    <s v="Total"/>
    <n v="1"/>
    <m/>
    <n v="1"/>
    <m/>
  </r>
  <r>
    <x v="3"/>
    <x v="0"/>
    <s v="Total"/>
    <n v="10"/>
    <n v="9"/>
    <n v="1"/>
    <m/>
  </r>
  <r>
    <x v="3"/>
    <x v="1"/>
    <s v="Total"/>
    <n v="4"/>
    <n v="3"/>
    <n v="1"/>
    <m/>
  </r>
  <r>
    <x v="3"/>
    <x v="2"/>
    <s v="Total"/>
    <n v="7"/>
    <n v="6"/>
    <n v="1"/>
    <m/>
  </r>
  <r>
    <x v="3"/>
    <x v="3"/>
    <s v="Total"/>
    <n v="5"/>
    <n v="2"/>
    <n v="3"/>
    <m/>
  </r>
  <r>
    <x v="3"/>
    <x v="4"/>
    <s v="Total"/>
    <n v="3"/>
    <n v="1"/>
    <n v="2"/>
    <m/>
  </r>
  <r>
    <x v="3"/>
    <x v="5"/>
    <s v="Total"/>
    <n v="2"/>
    <n v="1"/>
    <n v="1"/>
    <m/>
  </r>
  <r>
    <x v="3"/>
    <x v="7"/>
    <s v="Total"/>
    <n v="4"/>
    <n v="3"/>
    <n v="1"/>
    <m/>
  </r>
  <r>
    <x v="3"/>
    <x v="8"/>
    <s v="Total"/>
    <n v="4"/>
    <n v="3"/>
    <n v="1"/>
    <m/>
  </r>
  <r>
    <x v="3"/>
    <x v="9"/>
    <s v="Total"/>
    <n v="4"/>
    <n v="1"/>
    <n v="3"/>
    <m/>
  </r>
  <r>
    <x v="3"/>
    <x v="10"/>
    <s v="Total"/>
    <n v="5"/>
    <n v="2"/>
    <n v="3"/>
    <m/>
  </r>
  <r>
    <x v="3"/>
    <x v="11"/>
    <s v="Total"/>
    <n v="4"/>
    <n v="2"/>
    <n v="2"/>
    <m/>
  </r>
  <r>
    <x v="3"/>
    <x v="12"/>
    <s v="Total"/>
    <n v="3"/>
    <n v="2"/>
    <n v="1"/>
    <m/>
  </r>
  <r>
    <x v="3"/>
    <x v="14"/>
    <s v="Total"/>
    <n v="6"/>
    <n v="2"/>
    <n v="4"/>
    <m/>
  </r>
  <r>
    <x v="3"/>
    <x v="15"/>
    <s v="Total"/>
    <n v="2"/>
    <n v="2"/>
    <m/>
    <m/>
  </r>
  <r>
    <x v="3"/>
    <x v="16"/>
    <s v="Total"/>
    <n v="2"/>
    <n v="2"/>
    <m/>
    <m/>
  </r>
  <r>
    <x v="3"/>
    <x v="18"/>
    <s v="Total"/>
    <n v="4"/>
    <n v="2"/>
    <n v="2"/>
    <m/>
  </r>
  <r>
    <x v="3"/>
    <x v="19"/>
    <s v="Total"/>
    <n v="4"/>
    <n v="3"/>
    <n v="1"/>
    <m/>
  </r>
  <r>
    <x v="3"/>
    <x v="20"/>
    <s v="Total"/>
    <n v="1"/>
    <m/>
    <n v="1"/>
    <m/>
  </r>
  <r>
    <x v="3"/>
    <x v="21"/>
    <s v="Total"/>
    <n v="4"/>
    <m/>
    <n v="4"/>
    <m/>
  </r>
  <r>
    <x v="3"/>
    <x v="22"/>
    <s v="Total"/>
    <n v="4"/>
    <n v="1"/>
    <n v="3"/>
    <m/>
  </r>
  <r>
    <x v="3"/>
    <x v="23"/>
    <s v="Total"/>
    <n v="1"/>
    <m/>
    <n v="1"/>
    <m/>
  </r>
  <r>
    <x v="3"/>
    <x v="24"/>
    <s v="Total"/>
    <n v="2"/>
    <n v="1"/>
    <n v="1"/>
    <m/>
  </r>
  <r>
    <x v="3"/>
    <x v="25"/>
    <s v="Total"/>
    <n v="5"/>
    <n v="4"/>
    <n v="1"/>
    <m/>
  </r>
  <r>
    <x v="3"/>
    <x v="26"/>
    <s v="Total"/>
    <n v="3"/>
    <n v="2"/>
    <n v="1"/>
    <m/>
  </r>
  <r>
    <x v="3"/>
    <x v="27"/>
    <s v="Total"/>
    <n v="6"/>
    <n v="4"/>
    <n v="2"/>
    <m/>
  </r>
  <r>
    <x v="3"/>
    <x v="28"/>
    <s v="Total"/>
    <n v="6"/>
    <n v="3"/>
    <n v="3"/>
    <m/>
  </r>
  <r>
    <x v="3"/>
    <x v="29"/>
    <s v="Total"/>
    <n v="1"/>
    <n v="1"/>
    <m/>
    <m/>
  </r>
  <r>
    <x v="3"/>
    <x v="30"/>
    <s v="Total"/>
    <n v="3"/>
    <m/>
    <n v="3"/>
    <m/>
  </r>
  <r>
    <x v="3"/>
    <x v="31"/>
    <s v="Total"/>
    <n v="2"/>
    <n v="1"/>
    <n v="1"/>
    <m/>
  </r>
  <r>
    <x v="3"/>
    <x v="32"/>
    <s v="Total"/>
    <n v="2"/>
    <n v="1"/>
    <n v="1"/>
    <m/>
  </r>
  <r>
    <x v="3"/>
    <x v="33"/>
    <s v="Total"/>
    <n v="2"/>
    <n v="2"/>
    <m/>
    <m/>
  </r>
  <r>
    <x v="3"/>
    <x v="34"/>
    <s v="Total"/>
    <n v="1"/>
    <n v="1"/>
    <m/>
    <m/>
  </r>
  <r>
    <x v="4"/>
    <x v="0"/>
    <s v="Total"/>
    <n v="8"/>
    <n v="5"/>
    <n v="3"/>
    <m/>
  </r>
  <r>
    <x v="4"/>
    <x v="1"/>
    <s v="Total"/>
    <n v="14"/>
    <n v="11"/>
    <n v="3"/>
    <m/>
  </r>
  <r>
    <x v="4"/>
    <x v="2"/>
    <s v="Total"/>
    <n v="9"/>
    <n v="7"/>
    <n v="2"/>
    <m/>
  </r>
  <r>
    <x v="4"/>
    <x v="3"/>
    <s v="Total"/>
    <n v="4"/>
    <n v="2"/>
    <n v="2"/>
    <m/>
  </r>
  <r>
    <x v="4"/>
    <x v="4"/>
    <s v="Total"/>
    <n v="6"/>
    <n v="4"/>
    <n v="2"/>
    <m/>
  </r>
  <r>
    <x v="4"/>
    <x v="5"/>
    <s v="Total"/>
    <n v="9"/>
    <n v="6"/>
    <n v="3"/>
    <m/>
  </r>
  <r>
    <x v="4"/>
    <x v="6"/>
    <s v="Total"/>
    <n v="10"/>
    <n v="9"/>
    <n v="1"/>
    <m/>
  </r>
  <r>
    <x v="4"/>
    <x v="7"/>
    <s v="Total"/>
    <n v="5"/>
    <n v="2"/>
    <n v="3"/>
    <m/>
  </r>
  <r>
    <x v="4"/>
    <x v="8"/>
    <s v="Total"/>
    <n v="5"/>
    <n v="4"/>
    <n v="1"/>
    <m/>
  </r>
  <r>
    <x v="4"/>
    <x v="9"/>
    <s v="Total"/>
    <n v="8"/>
    <n v="5"/>
    <n v="3"/>
    <m/>
  </r>
  <r>
    <x v="4"/>
    <x v="10"/>
    <s v="Total"/>
    <n v="8"/>
    <n v="5"/>
    <n v="3"/>
    <m/>
  </r>
  <r>
    <x v="4"/>
    <x v="11"/>
    <s v="Total"/>
    <n v="8"/>
    <n v="7"/>
    <n v="1"/>
    <m/>
  </r>
  <r>
    <x v="4"/>
    <x v="12"/>
    <s v="Total"/>
    <n v="3"/>
    <m/>
    <n v="3"/>
    <m/>
  </r>
  <r>
    <x v="4"/>
    <x v="13"/>
    <s v="Total"/>
    <n v="6"/>
    <n v="6"/>
    <m/>
    <m/>
  </r>
  <r>
    <x v="4"/>
    <x v="14"/>
    <s v="Total"/>
    <n v="3"/>
    <n v="2"/>
    <n v="1"/>
    <m/>
  </r>
  <r>
    <x v="4"/>
    <x v="15"/>
    <s v="Total"/>
    <n v="8"/>
    <n v="4"/>
    <n v="4"/>
    <m/>
  </r>
  <r>
    <x v="4"/>
    <x v="16"/>
    <s v="Total"/>
    <n v="3"/>
    <n v="1"/>
    <n v="2"/>
    <m/>
  </r>
  <r>
    <x v="4"/>
    <x v="17"/>
    <s v="Total"/>
    <n v="2"/>
    <n v="1"/>
    <n v="1"/>
    <m/>
  </r>
  <r>
    <x v="4"/>
    <x v="18"/>
    <s v="Total"/>
    <n v="7"/>
    <n v="3"/>
    <n v="4"/>
    <m/>
  </r>
  <r>
    <x v="4"/>
    <x v="19"/>
    <s v="Total"/>
    <n v="12"/>
    <n v="5"/>
    <n v="7"/>
    <m/>
  </r>
  <r>
    <x v="4"/>
    <x v="20"/>
    <s v="Total"/>
    <n v="1"/>
    <n v="1"/>
    <m/>
    <m/>
  </r>
  <r>
    <x v="4"/>
    <x v="21"/>
    <s v="Total"/>
    <n v="11"/>
    <n v="8"/>
    <n v="3"/>
    <m/>
  </r>
  <r>
    <x v="4"/>
    <x v="22"/>
    <s v="Total"/>
    <n v="13"/>
    <n v="7"/>
    <n v="6"/>
    <m/>
  </r>
  <r>
    <x v="4"/>
    <x v="23"/>
    <s v="Total"/>
    <n v="3"/>
    <n v="2"/>
    <n v="1"/>
    <m/>
  </r>
  <r>
    <x v="4"/>
    <x v="24"/>
    <s v="Total"/>
    <n v="4"/>
    <n v="4"/>
    <m/>
    <m/>
  </r>
  <r>
    <x v="4"/>
    <x v="25"/>
    <s v="Total"/>
    <n v="5"/>
    <n v="4"/>
    <n v="1"/>
    <m/>
  </r>
  <r>
    <x v="4"/>
    <x v="26"/>
    <s v="Total"/>
    <n v="7"/>
    <n v="4"/>
    <n v="3"/>
    <m/>
  </r>
  <r>
    <x v="4"/>
    <x v="27"/>
    <s v="Total"/>
    <n v="12"/>
    <n v="4"/>
    <n v="8"/>
    <m/>
  </r>
  <r>
    <x v="4"/>
    <x v="28"/>
    <s v="Total"/>
    <n v="7"/>
    <n v="6"/>
    <n v="1"/>
    <m/>
  </r>
  <r>
    <x v="4"/>
    <x v="29"/>
    <s v="Total"/>
    <n v="12"/>
    <n v="8"/>
    <n v="4"/>
    <m/>
  </r>
  <r>
    <x v="4"/>
    <x v="30"/>
    <s v="Total"/>
    <n v="7"/>
    <n v="5"/>
    <n v="2"/>
    <m/>
  </r>
  <r>
    <x v="4"/>
    <x v="31"/>
    <s v="Total"/>
    <n v="6"/>
    <n v="4"/>
    <n v="2"/>
    <m/>
  </r>
  <r>
    <x v="4"/>
    <x v="32"/>
    <s v="Total"/>
    <n v="6"/>
    <n v="2"/>
    <n v="4"/>
    <m/>
  </r>
  <r>
    <x v="4"/>
    <x v="33"/>
    <s v="Total"/>
    <n v="6"/>
    <n v="3"/>
    <n v="3"/>
    <m/>
  </r>
  <r>
    <x v="4"/>
    <x v="34"/>
    <s v="Total"/>
    <n v="4"/>
    <n v="4"/>
    <m/>
    <m/>
  </r>
  <r>
    <x v="5"/>
    <x v="0"/>
    <s v="Total"/>
    <n v="52"/>
    <n v="48"/>
    <n v="4"/>
    <m/>
  </r>
  <r>
    <x v="5"/>
    <x v="1"/>
    <s v="Total"/>
    <n v="66"/>
    <n v="57"/>
    <n v="9"/>
    <m/>
  </r>
  <r>
    <x v="5"/>
    <x v="2"/>
    <s v="Total"/>
    <n v="44"/>
    <n v="38"/>
    <n v="6"/>
    <m/>
  </r>
  <r>
    <x v="5"/>
    <x v="3"/>
    <s v="Total"/>
    <n v="61"/>
    <n v="48"/>
    <n v="13"/>
    <m/>
  </r>
  <r>
    <x v="5"/>
    <x v="4"/>
    <s v="Total"/>
    <n v="51"/>
    <n v="47"/>
    <n v="4"/>
    <m/>
  </r>
  <r>
    <x v="5"/>
    <x v="5"/>
    <s v="Total"/>
    <n v="51"/>
    <n v="41"/>
    <n v="10"/>
    <m/>
  </r>
  <r>
    <x v="5"/>
    <x v="6"/>
    <s v="Total"/>
    <n v="38"/>
    <n v="31"/>
    <n v="7"/>
    <m/>
  </r>
  <r>
    <x v="5"/>
    <x v="7"/>
    <s v="Total"/>
    <n v="45"/>
    <n v="39"/>
    <n v="6"/>
    <m/>
  </r>
  <r>
    <x v="5"/>
    <x v="8"/>
    <s v="Total"/>
    <n v="41"/>
    <n v="36"/>
    <n v="5"/>
    <m/>
  </r>
  <r>
    <x v="5"/>
    <x v="9"/>
    <s v="Total"/>
    <n v="16"/>
    <n v="14"/>
    <n v="2"/>
    <m/>
  </r>
  <r>
    <x v="5"/>
    <x v="10"/>
    <s v="Total"/>
    <n v="36"/>
    <n v="30"/>
    <n v="6"/>
    <m/>
  </r>
  <r>
    <x v="5"/>
    <x v="11"/>
    <s v="Total"/>
    <n v="37"/>
    <n v="34"/>
    <n v="3"/>
    <m/>
  </r>
  <r>
    <x v="5"/>
    <x v="12"/>
    <s v="Total"/>
    <n v="28"/>
    <n v="23"/>
    <n v="5"/>
    <m/>
  </r>
  <r>
    <x v="5"/>
    <x v="13"/>
    <s v="Total"/>
    <n v="26"/>
    <n v="19"/>
    <n v="7"/>
    <m/>
  </r>
  <r>
    <x v="5"/>
    <x v="14"/>
    <s v="Total"/>
    <n v="19"/>
    <n v="16"/>
    <n v="3"/>
    <m/>
  </r>
  <r>
    <x v="5"/>
    <x v="15"/>
    <s v="Total"/>
    <n v="22"/>
    <n v="17"/>
    <n v="5"/>
    <m/>
  </r>
  <r>
    <x v="5"/>
    <x v="16"/>
    <s v="Total"/>
    <n v="17"/>
    <n v="12"/>
    <n v="5"/>
    <m/>
  </r>
  <r>
    <x v="5"/>
    <x v="17"/>
    <s v="Total"/>
    <n v="23"/>
    <n v="19"/>
    <n v="4"/>
    <m/>
  </r>
  <r>
    <x v="5"/>
    <x v="18"/>
    <s v="Total"/>
    <n v="30"/>
    <n v="21"/>
    <n v="9"/>
    <m/>
  </r>
  <r>
    <x v="5"/>
    <x v="19"/>
    <s v="Total"/>
    <n v="47"/>
    <n v="38"/>
    <n v="9"/>
    <m/>
  </r>
  <r>
    <x v="5"/>
    <x v="20"/>
    <s v="Total"/>
    <n v="44"/>
    <n v="31"/>
    <n v="13"/>
    <m/>
  </r>
  <r>
    <x v="5"/>
    <x v="21"/>
    <s v="Total"/>
    <n v="106"/>
    <n v="92"/>
    <n v="14"/>
    <m/>
  </r>
  <r>
    <x v="5"/>
    <x v="22"/>
    <s v="Total"/>
    <n v="86"/>
    <n v="68"/>
    <n v="18"/>
    <m/>
  </r>
  <r>
    <x v="5"/>
    <x v="23"/>
    <s v="Total"/>
    <n v="71"/>
    <n v="57"/>
    <n v="14"/>
    <m/>
  </r>
  <r>
    <x v="5"/>
    <x v="24"/>
    <s v="Total"/>
    <n v="66"/>
    <n v="58"/>
    <n v="8"/>
    <m/>
  </r>
  <r>
    <x v="5"/>
    <x v="25"/>
    <s v="Total"/>
    <n v="73"/>
    <n v="63"/>
    <n v="10"/>
    <m/>
  </r>
  <r>
    <x v="5"/>
    <x v="26"/>
    <s v="Total"/>
    <n v="94"/>
    <n v="79"/>
    <n v="15"/>
    <m/>
  </r>
  <r>
    <x v="5"/>
    <x v="27"/>
    <s v="Total"/>
    <n v="138"/>
    <n v="116"/>
    <n v="22"/>
    <m/>
  </r>
  <r>
    <x v="5"/>
    <x v="28"/>
    <s v="Total"/>
    <n v="120"/>
    <n v="109"/>
    <n v="11"/>
    <m/>
  </r>
  <r>
    <x v="5"/>
    <x v="29"/>
    <s v="Total"/>
    <n v="84"/>
    <n v="70"/>
    <n v="14"/>
    <m/>
  </r>
  <r>
    <x v="5"/>
    <x v="30"/>
    <s v="Total"/>
    <n v="61"/>
    <n v="46"/>
    <n v="15"/>
    <m/>
  </r>
  <r>
    <x v="5"/>
    <x v="31"/>
    <s v="Total"/>
    <n v="47"/>
    <n v="40"/>
    <n v="7"/>
    <m/>
  </r>
  <r>
    <x v="5"/>
    <x v="32"/>
    <s v="Total"/>
    <n v="50"/>
    <n v="43"/>
    <n v="7"/>
    <m/>
  </r>
  <r>
    <x v="5"/>
    <x v="33"/>
    <s v="Total"/>
    <n v="31"/>
    <n v="28"/>
    <n v="3"/>
    <m/>
  </r>
  <r>
    <x v="5"/>
    <x v="34"/>
    <s v="Total"/>
    <n v="38"/>
    <n v="34"/>
    <n v="4"/>
    <m/>
  </r>
  <r>
    <x v="6"/>
    <x v="0"/>
    <s v="Total"/>
    <n v="101"/>
    <n v="94"/>
    <n v="7"/>
    <m/>
  </r>
  <r>
    <x v="6"/>
    <x v="1"/>
    <s v="Total"/>
    <n v="116"/>
    <n v="108"/>
    <n v="8"/>
    <m/>
  </r>
  <r>
    <x v="6"/>
    <x v="2"/>
    <s v="Total"/>
    <n v="137"/>
    <n v="126"/>
    <n v="11"/>
    <m/>
  </r>
  <r>
    <x v="6"/>
    <x v="3"/>
    <s v="Total"/>
    <n v="114"/>
    <n v="104"/>
    <n v="10"/>
    <m/>
  </r>
  <r>
    <x v="6"/>
    <x v="4"/>
    <s v="Total"/>
    <n v="112"/>
    <n v="104"/>
    <n v="8"/>
    <m/>
  </r>
  <r>
    <x v="6"/>
    <x v="5"/>
    <s v="Total"/>
    <n v="88"/>
    <n v="80"/>
    <n v="8"/>
    <m/>
  </r>
  <r>
    <x v="6"/>
    <x v="6"/>
    <s v="Total"/>
    <n v="89"/>
    <n v="84"/>
    <n v="5"/>
    <m/>
  </r>
  <r>
    <x v="6"/>
    <x v="7"/>
    <s v="Total"/>
    <n v="85"/>
    <n v="78"/>
    <n v="7"/>
    <m/>
  </r>
  <r>
    <x v="6"/>
    <x v="8"/>
    <s v="Total"/>
    <n v="54"/>
    <n v="49"/>
    <n v="5"/>
    <m/>
  </r>
  <r>
    <x v="6"/>
    <x v="9"/>
    <s v="Total"/>
    <n v="44"/>
    <n v="38"/>
    <n v="6"/>
    <m/>
  </r>
  <r>
    <x v="6"/>
    <x v="10"/>
    <s v="Total"/>
    <n v="58"/>
    <n v="51"/>
    <n v="7"/>
    <m/>
  </r>
  <r>
    <x v="6"/>
    <x v="11"/>
    <s v="Total"/>
    <n v="54"/>
    <n v="49"/>
    <n v="5"/>
    <m/>
  </r>
  <r>
    <x v="6"/>
    <x v="12"/>
    <s v="Total"/>
    <n v="33"/>
    <n v="27"/>
    <n v="6"/>
    <m/>
  </r>
  <r>
    <x v="6"/>
    <x v="13"/>
    <s v="Total"/>
    <n v="39"/>
    <n v="33"/>
    <n v="6"/>
    <m/>
  </r>
  <r>
    <x v="6"/>
    <x v="14"/>
    <s v="Total"/>
    <n v="37"/>
    <n v="29"/>
    <n v="8"/>
    <m/>
  </r>
  <r>
    <x v="6"/>
    <x v="15"/>
    <s v="Total"/>
    <n v="48"/>
    <n v="40"/>
    <n v="8"/>
    <m/>
  </r>
  <r>
    <x v="6"/>
    <x v="16"/>
    <s v="Total"/>
    <n v="32"/>
    <n v="29"/>
    <n v="3"/>
    <m/>
  </r>
  <r>
    <x v="6"/>
    <x v="17"/>
    <s v="Total"/>
    <n v="38"/>
    <n v="34"/>
    <n v="4"/>
    <m/>
  </r>
  <r>
    <x v="6"/>
    <x v="18"/>
    <s v="Total"/>
    <n v="35"/>
    <n v="29"/>
    <n v="6"/>
    <m/>
  </r>
  <r>
    <x v="6"/>
    <x v="19"/>
    <s v="Total"/>
    <n v="78"/>
    <n v="63"/>
    <n v="15"/>
    <m/>
  </r>
  <r>
    <x v="6"/>
    <x v="20"/>
    <s v="Total"/>
    <n v="50"/>
    <n v="42"/>
    <n v="8"/>
    <m/>
  </r>
  <r>
    <x v="6"/>
    <x v="21"/>
    <s v="Total"/>
    <n v="157"/>
    <n v="138"/>
    <n v="19"/>
    <m/>
  </r>
  <r>
    <x v="6"/>
    <x v="22"/>
    <s v="Total"/>
    <n v="127"/>
    <n v="115"/>
    <n v="12"/>
    <m/>
  </r>
  <r>
    <x v="6"/>
    <x v="23"/>
    <s v="Total"/>
    <n v="123"/>
    <n v="109"/>
    <n v="14"/>
    <m/>
  </r>
  <r>
    <x v="6"/>
    <x v="24"/>
    <s v="Total"/>
    <n v="108"/>
    <n v="92"/>
    <n v="16"/>
    <m/>
  </r>
  <r>
    <x v="6"/>
    <x v="25"/>
    <s v="Total"/>
    <n v="158"/>
    <n v="145"/>
    <n v="13"/>
    <m/>
  </r>
  <r>
    <x v="6"/>
    <x v="26"/>
    <s v="Total"/>
    <n v="209"/>
    <n v="187"/>
    <n v="22"/>
    <m/>
  </r>
  <r>
    <x v="6"/>
    <x v="27"/>
    <s v="Total"/>
    <n v="271"/>
    <n v="232"/>
    <n v="39"/>
    <m/>
  </r>
  <r>
    <x v="6"/>
    <x v="28"/>
    <s v="Total"/>
    <n v="223"/>
    <n v="204"/>
    <n v="19"/>
    <m/>
  </r>
  <r>
    <x v="6"/>
    <x v="29"/>
    <s v="Total"/>
    <n v="211"/>
    <n v="189"/>
    <n v="22"/>
    <m/>
  </r>
  <r>
    <x v="6"/>
    <x v="30"/>
    <s v="Total"/>
    <n v="162"/>
    <n v="141"/>
    <n v="21"/>
    <m/>
  </r>
  <r>
    <x v="6"/>
    <x v="31"/>
    <s v="Total"/>
    <n v="121"/>
    <n v="110"/>
    <n v="11"/>
    <m/>
  </r>
  <r>
    <x v="6"/>
    <x v="32"/>
    <s v="Total"/>
    <n v="101"/>
    <n v="86"/>
    <n v="15"/>
    <m/>
  </r>
  <r>
    <x v="6"/>
    <x v="33"/>
    <s v="Total"/>
    <n v="117"/>
    <n v="96"/>
    <n v="21"/>
    <m/>
  </r>
  <r>
    <x v="6"/>
    <x v="34"/>
    <s v="Total"/>
    <n v="109"/>
    <n v="96"/>
    <n v="13"/>
    <m/>
  </r>
  <r>
    <x v="7"/>
    <x v="0"/>
    <s v="Total"/>
    <n v="113"/>
    <n v="102"/>
    <n v="11"/>
    <m/>
  </r>
  <r>
    <x v="7"/>
    <x v="1"/>
    <s v="Total"/>
    <n v="131"/>
    <n v="118"/>
    <n v="13"/>
    <m/>
  </r>
  <r>
    <x v="7"/>
    <x v="2"/>
    <s v="Total"/>
    <n v="100"/>
    <n v="93"/>
    <n v="7"/>
    <m/>
  </r>
  <r>
    <x v="7"/>
    <x v="3"/>
    <s v="Total"/>
    <n v="125"/>
    <n v="119"/>
    <n v="6"/>
    <m/>
  </r>
  <r>
    <x v="7"/>
    <x v="4"/>
    <s v="Total"/>
    <n v="109"/>
    <n v="107"/>
    <n v="2"/>
    <m/>
  </r>
  <r>
    <x v="7"/>
    <x v="5"/>
    <s v="Total"/>
    <n v="84"/>
    <n v="78"/>
    <n v="6"/>
    <m/>
  </r>
  <r>
    <x v="7"/>
    <x v="6"/>
    <s v="Total"/>
    <n v="83"/>
    <n v="79"/>
    <n v="4"/>
    <m/>
  </r>
  <r>
    <x v="7"/>
    <x v="7"/>
    <s v="Total"/>
    <n v="107"/>
    <n v="101"/>
    <n v="6"/>
    <m/>
  </r>
  <r>
    <x v="7"/>
    <x v="8"/>
    <s v="Total"/>
    <n v="75"/>
    <n v="69"/>
    <n v="6"/>
    <m/>
  </r>
  <r>
    <x v="7"/>
    <x v="9"/>
    <s v="Total"/>
    <n v="64"/>
    <n v="62"/>
    <n v="2"/>
    <m/>
  </r>
  <r>
    <x v="7"/>
    <x v="10"/>
    <s v="Total"/>
    <n v="67"/>
    <n v="63"/>
    <n v="4"/>
    <m/>
  </r>
  <r>
    <x v="7"/>
    <x v="11"/>
    <s v="Total"/>
    <n v="45"/>
    <n v="41"/>
    <n v="4"/>
    <m/>
  </r>
  <r>
    <x v="7"/>
    <x v="12"/>
    <s v="Total"/>
    <n v="41"/>
    <n v="36"/>
    <n v="5"/>
    <m/>
  </r>
  <r>
    <x v="7"/>
    <x v="13"/>
    <s v="Total"/>
    <n v="48"/>
    <n v="43"/>
    <n v="5"/>
    <m/>
  </r>
  <r>
    <x v="7"/>
    <x v="14"/>
    <s v="Total"/>
    <n v="39"/>
    <n v="35"/>
    <n v="4"/>
    <m/>
  </r>
  <r>
    <x v="7"/>
    <x v="15"/>
    <s v="Total"/>
    <n v="36"/>
    <n v="31"/>
    <n v="5"/>
    <m/>
  </r>
  <r>
    <x v="7"/>
    <x v="16"/>
    <s v="Total"/>
    <n v="42"/>
    <n v="34"/>
    <n v="8"/>
    <m/>
  </r>
  <r>
    <x v="7"/>
    <x v="17"/>
    <s v="Total"/>
    <n v="33"/>
    <n v="29"/>
    <n v="4"/>
    <m/>
  </r>
  <r>
    <x v="7"/>
    <x v="18"/>
    <s v="Total"/>
    <n v="46"/>
    <n v="40"/>
    <n v="6"/>
    <m/>
  </r>
  <r>
    <x v="7"/>
    <x v="19"/>
    <s v="Total"/>
    <n v="91"/>
    <n v="78"/>
    <n v="13"/>
    <m/>
  </r>
  <r>
    <x v="7"/>
    <x v="20"/>
    <s v="Total"/>
    <n v="72"/>
    <n v="63"/>
    <n v="9"/>
    <m/>
  </r>
  <r>
    <x v="7"/>
    <x v="21"/>
    <s v="Total"/>
    <n v="135"/>
    <n v="122"/>
    <n v="13"/>
    <m/>
  </r>
  <r>
    <x v="7"/>
    <x v="22"/>
    <s v="Total"/>
    <n v="136"/>
    <n v="116"/>
    <n v="20"/>
    <m/>
  </r>
  <r>
    <x v="7"/>
    <x v="23"/>
    <s v="Total"/>
    <n v="99"/>
    <n v="91"/>
    <n v="8"/>
    <m/>
  </r>
  <r>
    <x v="7"/>
    <x v="24"/>
    <s v="Total"/>
    <n v="126"/>
    <n v="115"/>
    <n v="11"/>
    <m/>
  </r>
  <r>
    <x v="7"/>
    <x v="25"/>
    <s v="Total"/>
    <n v="151"/>
    <n v="134"/>
    <n v="17"/>
    <m/>
  </r>
  <r>
    <x v="7"/>
    <x v="26"/>
    <s v="Total"/>
    <n v="207"/>
    <n v="186"/>
    <n v="19"/>
    <n v="2"/>
  </r>
  <r>
    <x v="7"/>
    <x v="27"/>
    <s v="Total"/>
    <n v="297"/>
    <n v="272"/>
    <n v="25"/>
    <m/>
  </r>
  <r>
    <x v="7"/>
    <x v="28"/>
    <s v="Total"/>
    <n v="233"/>
    <n v="211"/>
    <n v="22"/>
    <m/>
  </r>
  <r>
    <x v="7"/>
    <x v="29"/>
    <s v="Total"/>
    <n v="248"/>
    <n v="220"/>
    <n v="28"/>
    <m/>
  </r>
  <r>
    <x v="7"/>
    <x v="30"/>
    <s v="Total"/>
    <n v="219"/>
    <n v="189"/>
    <n v="30"/>
    <m/>
  </r>
  <r>
    <x v="7"/>
    <x v="31"/>
    <s v="Total"/>
    <n v="144"/>
    <n v="120"/>
    <n v="24"/>
    <m/>
  </r>
  <r>
    <x v="7"/>
    <x v="32"/>
    <s v="Total"/>
    <n v="100"/>
    <n v="86"/>
    <n v="14"/>
    <m/>
  </r>
  <r>
    <x v="7"/>
    <x v="33"/>
    <s v="Total"/>
    <n v="115"/>
    <n v="106"/>
    <n v="9"/>
    <m/>
  </r>
  <r>
    <x v="7"/>
    <x v="34"/>
    <s v="Total"/>
    <n v="151"/>
    <n v="128"/>
    <n v="23"/>
    <m/>
  </r>
  <r>
    <x v="8"/>
    <x v="0"/>
    <s v="Total"/>
    <n v="84"/>
    <n v="76"/>
    <n v="7"/>
    <n v="1"/>
  </r>
  <r>
    <x v="8"/>
    <x v="1"/>
    <s v="Total"/>
    <n v="114"/>
    <n v="109"/>
    <n v="5"/>
    <m/>
  </r>
  <r>
    <x v="8"/>
    <x v="2"/>
    <s v="Total"/>
    <n v="114"/>
    <n v="111"/>
    <n v="3"/>
    <m/>
  </r>
  <r>
    <x v="8"/>
    <x v="3"/>
    <s v="Total"/>
    <n v="75"/>
    <n v="68"/>
    <n v="7"/>
    <m/>
  </r>
  <r>
    <x v="8"/>
    <x v="4"/>
    <s v="Total"/>
    <n v="85"/>
    <n v="81"/>
    <n v="4"/>
    <m/>
  </r>
  <r>
    <x v="8"/>
    <x v="5"/>
    <s v="Total"/>
    <n v="79"/>
    <n v="69"/>
    <n v="10"/>
    <m/>
  </r>
  <r>
    <x v="8"/>
    <x v="6"/>
    <s v="Total"/>
    <n v="87"/>
    <n v="81"/>
    <n v="6"/>
    <m/>
  </r>
  <r>
    <x v="8"/>
    <x v="7"/>
    <s v="Total"/>
    <n v="86"/>
    <n v="72"/>
    <n v="14"/>
    <m/>
  </r>
  <r>
    <x v="8"/>
    <x v="8"/>
    <s v="Total"/>
    <n v="69"/>
    <n v="63"/>
    <n v="6"/>
    <m/>
  </r>
  <r>
    <x v="8"/>
    <x v="9"/>
    <s v="Total"/>
    <n v="56"/>
    <n v="52"/>
    <n v="4"/>
    <m/>
  </r>
  <r>
    <x v="8"/>
    <x v="10"/>
    <s v="Total"/>
    <n v="51"/>
    <n v="44"/>
    <n v="7"/>
    <m/>
  </r>
  <r>
    <x v="8"/>
    <x v="11"/>
    <s v="Total"/>
    <n v="46"/>
    <n v="40"/>
    <n v="6"/>
    <m/>
  </r>
  <r>
    <x v="8"/>
    <x v="12"/>
    <s v="Total"/>
    <n v="48"/>
    <n v="44"/>
    <n v="4"/>
    <m/>
  </r>
  <r>
    <x v="8"/>
    <x v="13"/>
    <s v="Total"/>
    <n v="49"/>
    <n v="44"/>
    <n v="5"/>
    <m/>
  </r>
  <r>
    <x v="8"/>
    <x v="14"/>
    <s v="Total"/>
    <n v="46"/>
    <n v="42"/>
    <n v="4"/>
    <m/>
  </r>
  <r>
    <x v="8"/>
    <x v="15"/>
    <s v="Total"/>
    <n v="40"/>
    <n v="36"/>
    <n v="4"/>
    <m/>
  </r>
  <r>
    <x v="8"/>
    <x v="16"/>
    <s v="Total"/>
    <n v="48"/>
    <n v="44"/>
    <n v="4"/>
    <m/>
  </r>
  <r>
    <x v="8"/>
    <x v="17"/>
    <s v="Total"/>
    <n v="51"/>
    <n v="42"/>
    <n v="9"/>
    <m/>
  </r>
  <r>
    <x v="8"/>
    <x v="18"/>
    <s v="Total"/>
    <n v="48"/>
    <n v="39"/>
    <n v="9"/>
    <m/>
  </r>
  <r>
    <x v="8"/>
    <x v="19"/>
    <s v="Total"/>
    <n v="94"/>
    <n v="87"/>
    <n v="7"/>
    <m/>
  </r>
  <r>
    <x v="8"/>
    <x v="20"/>
    <s v="Total"/>
    <n v="68"/>
    <n v="64"/>
    <n v="4"/>
    <m/>
  </r>
  <r>
    <x v="8"/>
    <x v="21"/>
    <s v="Total"/>
    <n v="120"/>
    <n v="110"/>
    <n v="10"/>
    <m/>
  </r>
  <r>
    <x v="8"/>
    <x v="22"/>
    <s v="Total"/>
    <n v="122"/>
    <n v="110"/>
    <n v="12"/>
    <m/>
  </r>
  <r>
    <x v="8"/>
    <x v="23"/>
    <s v="Total"/>
    <n v="108"/>
    <n v="97"/>
    <n v="11"/>
    <m/>
  </r>
  <r>
    <x v="8"/>
    <x v="24"/>
    <s v="Total"/>
    <n v="128"/>
    <n v="117"/>
    <n v="11"/>
    <m/>
  </r>
  <r>
    <x v="8"/>
    <x v="25"/>
    <s v="Total"/>
    <n v="124"/>
    <n v="110"/>
    <n v="14"/>
    <m/>
  </r>
  <r>
    <x v="8"/>
    <x v="26"/>
    <s v="Total"/>
    <n v="172"/>
    <n v="150"/>
    <n v="22"/>
    <m/>
  </r>
  <r>
    <x v="8"/>
    <x v="27"/>
    <s v="Total"/>
    <n v="267"/>
    <n v="242"/>
    <n v="25"/>
    <m/>
  </r>
  <r>
    <x v="8"/>
    <x v="28"/>
    <s v="Total"/>
    <n v="203"/>
    <n v="186"/>
    <n v="17"/>
    <m/>
  </r>
  <r>
    <x v="8"/>
    <x v="29"/>
    <s v="Total"/>
    <n v="215"/>
    <n v="194"/>
    <n v="21"/>
    <m/>
  </r>
  <r>
    <x v="8"/>
    <x v="30"/>
    <s v="Total"/>
    <n v="165"/>
    <n v="154"/>
    <n v="11"/>
    <m/>
  </r>
  <r>
    <x v="8"/>
    <x v="31"/>
    <s v="Total"/>
    <n v="165"/>
    <n v="145"/>
    <n v="20"/>
    <m/>
  </r>
  <r>
    <x v="8"/>
    <x v="32"/>
    <s v="Total"/>
    <n v="127"/>
    <n v="112"/>
    <n v="15"/>
    <m/>
  </r>
  <r>
    <x v="8"/>
    <x v="33"/>
    <s v="Total"/>
    <n v="120"/>
    <n v="109"/>
    <n v="11"/>
    <m/>
  </r>
  <r>
    <x v="8"/>
    <x v="34"/>
    <s v="Total"/>
    <n v="119"/>
    <n v="104"/>
    <n v="15"/>
    <m/>
  </r>
  <r>
    <x v="9"/>
    <x v="0"/>
    <s v="Total"/>
    <n v="90"/>
    <n v="86"/>
    <n v="4"/>
    <m/>
  </r>
  <r>
    <x v="9"/>
    <x v="1"/>
    <s v="Total"/>
    <n v="94"/>
    <n v="88"/>
    <n v="6"/>
    <m/>
  </r>
  <r>
    <x v="9"/>
    <x v="2"/>
    <s v="Total"/>
    <n v="61"/>
    <n v="55"/>
    <n v="6"/>
    <m/>
  </r>
  <r>
    <x v="9"/>
    <x v="3"/>
    <s v="Total"/>
    <n v="88"/>
    <n v="83"/>
    <n v="5"/>
    <m/>
  </r>
  <r>
    <x v="9"/>
    <x v="4"/>
    <s v="Total"/>
    <n v="95"/>
    <n v="87"/>
    <n v="8"/>
    <m/>
  </r>
  <r>
    <x v="9"/>
    <x v="5"/>
    <s v="Total"/>
    <n v="74"/>
    <n v="72"/>
    <n v="2"/>
    <m/>
  </r>
  <r>
    <x v="9"/>
    <x v="6"/>
    <s v="Total"/>
    <n v="52"/>
    <n v="50"/>
    <n v="2"/>
    <m/>
  </r>
  <r>
    <x v="9"/>
    <x v="7"/>
    <s v="Total"/>
    <n v="73"/>
    <n v="66"/>
    <n v="7"/>
    <m/>
  </r>
  <r>
    <x v="9"/>
    <x v="8"/>
    <s v="Total"/>
    <n v="50"/>
    <n v="46"/>
    <n v="4"/>
    <m/>
  </r>
  <r>
    <x v="9"/>
    <x v="9"/>
    <s v="Total"/>
    <n v="55"/>
    <n v="49"/>
    <n v="6"/>
    <m/>
  </r>
  <r>
    <x v="9"/>
    <x v="10"/>
    <s v="Total"/>
    <n v="48"/>
    <n v="47"/>
    <n v="1"/>
    <m/>
  </r>
  <r>
    <x v="9"/>
    <x v="11"/>
    <s v="Total"/>
    <n v="46"/>
    <n v="40"/>
    <n v="6"/>
    <m/>
  </r>
  <r>
    <x v="9"/>
    <x v="12"/>
    <s v="Total"/>
    <n v="41"/>
    <n v="37"/>
    <n v="4"/>
    <m/>
  </r>
  <r>
    <x v="9"/>
    <x v="13"/>
    <s v="Total"/>
    <n v="46"/>
    <n v="44"/>
    <n v="2"/>
    <m/>
  </r>
  <r>
    <x v="9"/>
    <x v="14"/>
    <s v="Total"/>
    <n v="45"/>
    <n v="41"/>
    <n v="4"/>
    <m/>
  </r>
  <r>
    <x v="9"/>
    <x v="15"/>
    <s v="Total"/>
    <n v="36"/>
    <n v="31"/>
    <n v="5"/>
    <m/>
  </r>
  <r>
    <x v="9"/>
    <x v="16"/>
    <s v="Total"/>
    <n v="49"/>
    <n v="43"/>
    <n v="6"/>
    <m/>
  </r>
  <r>
    <x v="9"/>
    <x v="17"/>
    <s v="Total"/>
    <n v="47"/>
    <n v="42"/>
    <n v="5"/>
    <m/>
  </r>
  <r>
    <x v="9"/>
    <x v="18"/>
    <s v="Total"/>
    <n v="39"/>
    <n v="38"/>
    <n v="1"/>
    <m/>
  </r>
  <r>
    <x v="9"/>
    <x v="19"/>
    <s v="Total"/>
    <n v="71"/>
    <n v="63"/>
    <n v="8"/>
    <m/>
  </r>
  <r>
    <x v="9"/>
    <x v="20"/>
    <s v="Total"/>
    <n v="53"/>
    <n v="45"/>
    <n v="7"/>
    <n v="1"/>
  </r>
  <r>
    <x v="9"/>
    <x v="21"/>
    <s v="Total"/>
    <n v="111"/>
    <n v="96"/>
    <n v="15"/>
    <m/>
  </r>
  <r>
    <x v="9"/>
    <x v="22"/>
    <s v="Total"/>
    <n v="109"/>
    <n v="94"/>
    <n v="15"/>
    <m/>
  </r>
  <r>
    <x v="9"/>
    <x v="23"/>
    <s v="Total"/>
    <n v="68"/>
    <n v="61"/>
    <n v="7"/>
    <m/>
  </r>
  <r>
    <x v="9"/>
    <x v="24"/>
    <s v="Total"/>
    <n v="99"/>
    <n v="92"/>
    <n v="7"/>
    <m/>
  </r>
  <r>
    <x v="9"/>
    <x v="25"/>
    <s v="Total"/>
    <n v="121"/>
    <n v="111"/>
    <n v="10"/>
    <m/>
  </r>
  <r>
    <x v="9"/>
    <x v="26"/>
    <s v="Total"/>
    <n v="138"/>
    <n v="125"/>
    <n v="13"/>
    <m/>
  </r>
  <r>
    <x v="9"/>
    <x v="27"/>
    <s v="Total"/>
    <n v="215"/>
    <n v="189"/>
    <n v="26"/>
    <m/>
  </r>
  <r>
    <x v="9"/>
    <x v="28"/>
    <s v="Total"/>
    <n v="198"/>
    <n v="178"/>
    <n v="20"/>
    <m/>
  </r>
  <r>
    <x v="9"/>
    <x v="29"/>
    <s v="Total"/>
    <n v="172"/>
    <n v="156"/>
    <n v="16"/>
    <m/>
  </r>
  <r>
    <x v="9"/>
    <x v="30"/>
    <s v="Total"/>
    <n v="150"/>
    <n v="139"/>
    <n v="11"/>
    <m/>
  </r>
  <r>
    <x v="9"/>
    <x v="31"/>
    <s v="Total"/>
    <n v="107"/>
    <n v="96"/>
    <n v="11"/>
    <m/>
  </r>
  <r>
    <x v="9"/>
    <x v="32"/>
    <s v="Total"/>
    <n v="114"/>
    <n v="102"/>
    <n v="12"/>
    <m/>
  </r>
  <r>
    <x v="9"/>
    <x v="33"/>
    <s v="Total"/>
    <n v="109"/>
    <n v="101"/>
    <n v="7"/>
    <n v="1"/>
  </r>
  <r>
    <x v="9"/>
    <x v="34"/>
    <s v="Total"/>
    <n v="118"/>
    <n v="106"/>
    <n v="12"/>
    <m/>
  </r>
  <r>
    <x v="10"/>
    <x v="0"/>
    <s v="Total"/>
    <n v="67"/>
    <n v="66"/>
    <n v="1"/>
    <m/>
  </r>
  <r>
    <x v="10"/>
    <x v="1"/>
    <s v="Total"/>
    <n v="63"/>
    <n v="62"/>
    <n v="1"/>
    <m/>
  </r>
  <r>
    <x v="10"/>
    <x v="2"/>
    <s v="Total"/>
    <n v="64"/>
    <n v="57"/>
    <n v="6"/>
    <n v="1"/>
  </r>
  <r>
    <x v="10"/>
    <x v="3"/>
    <s v="Total"/>
    <n v="65"/>
    <n v="62"/>
    <n v="3"/>
    <m/>
  </r>
  <r>
    <x v="10"/>
    <x v="4"/>
    <s v="Total"/>
    <n v="63"/>
    <n v="56"/>
    <n v="7"/>
    <m/>
  </r>
  <r>
    <x v="10"/>
    <x v="5"/>
    <s v="Total"/>
    <n v="64"/>
    <n v="60"/>
    <n v="4"/>
    <m/>
  </r>
  <r>
    <x v="10"/>
    <x v="6"/>
    <s v="Total"/>
    <n v="53"/>
    <n v="49"/>
    <n v="4"/>
    <m/>
  </r>
  <r>
    <x v="10"/>
    <x v="7"/>
    <s v="Total"/>
    <n v="54"/>
    <n v="46"/>
    <n v="8"/>
    <m/>
  </r>
  <r>
    <x v="10"/>
    <x v="8"/>
    <s v="Total"/>
    <n v="48"/>
    <n v="45"/>
    <n v="3"/>
    <m/>
  </r>
  <r>
    <x v="10"/>
    <x v="9"/>
    <s v="Total"/>
    <n v="40"/>
    <n v="36"/>
    <n v="4"/>
    <m/>
  </r>
  <r>
    <x v="10"/>
    <x v="10"/>
    <s v="Total"/>
    <n v="25"/>
    <n v="24"/>
    <n v="1"/>
    <m/>
  </r>
  <r>
    <x v="10"/>
    <x v="11"/>
    <s v="Total"/>
    <n v="40"/>
    <n v="34"/>
    <n v="6"/>
    <m/>
  </r>
  <r>
    <x v="10"/>
    <x v="12"/>
    <s v="Total"/>
    <n v="38"/>
    <n v="37"/>
    <n v="1"/>
    <m/>
  </r>
  <r>
    <x v="10"/>
    <x v="13"/>
    <s v="Total"/>
    <n v="40"/>
    <n v="35"/>
    <n v="5"/>
    <m/>
  </r>
  <r>
    <x v="10"/>
    <x v="14"/>
    <s v="Total"/>
    <n v="40"/>
    <n v="36"/>
    <n v="4"/>
    <m/>
  </r>
  <r>
    <x v="10"/>
    <x v="15"/>
    <s v="Total"/>
    <n v="44"/>
    <n v="41"/>
    <n v="3"/>
    <m/>
  </r>
  <r>
    <x v="10"/>
    <x v="16"/>
    <s v="Total"/>
    <n v="35"/>
    <n v="30"/>
    <n v="5"/>
    <m/>
  </r>
  <r>
    <x v="10"/>
    <x v="17"/>
    <s v="Total"/>
    <n v="28"/>
    <n v="25"/>
    <n v="3"/>
    <m/>
  </r>
  <r>
    <x v="10"/>
    <x v="18"/>
    <s v="Total"/>
    <n v="43"/>
    <n v="39"/>
    <n v="4"/>
    <m/>
  </r>
  <r>
    <x v="10"/>
    <x v="19"/>
    <s v="Total"/>
    <n v="69"/>
    <n v="61"/>
    <n v="8"/>
    <m/>
  </r>
  <r>
    <x v="10"/>
    <x v="20"/>
    <s v="Total"/>
    <n v="59"/>
    <n v="57"/>
    <n v="2"/>
    <m/>
  </r>
  <r>
    <x v="10"/>
    <x v="21"/>
    <s v="Total"/>
    <n v="72"/>
    <n v="59"/>
    <n v="12"/>
    <n v="1"/>
  </r>
  <r>
    <x v="10"/>
    <x v="22"/>
    <s v="Total"/>
    <n v="75"/>
    <n v="66"/>
    <n v="9"/>
    <m/>
  </r>
  <r>
    <x v="10"/>
    <x v="23"/>
    <s v="Total"/>
    <n v="65"/>
    <n v="56"/>
    <n v="9"/>
    <m/>
  </r>
  <r>
    <x v="10"/>
    <x v="24"/>
    <s v="Total"/>
    <n v="93"/>
    <n v="84"/>
    <n v="9"/>
    <m/>
  </r>
  <r>
    <x v="10"/>
    <x v="25"/>
    <s v="Total"/>
    <n v="108"/>
    <n v="95"/>
    <n v="13"/>
    <m/>
  </r>
  <r>
    <x v="10"/>
    <x v="26"/>
    <s v="Total"/>
    <n v="130"/>
    <n v="119"/>
    <n v="11"/>
    <m/>
  </r>
  <r>
    <x v="10"/>
    <x v="27"/>
    <s v="Total"/>
    <n v="190"/>
    <n v="172"/>
    <n v="18"/>
    <m/>
  </r>
  <r>
    <x v="10"/>
    <x v="28"/>
    <s v="Total"/>
    <n v="155"/>
    <n v="142"/>
    <n v="13"/>
    <m/>
  </r>
  <r>
    <x v="10"/>
    <x v="29"/>
    <s v="Total"/>
    <n v="148"/>
    <n v="125"/>
    <n v="23"/>
    <m/>
  </r>
  <r>
    <x v="10"/>
    <x v="30"/>
    <s v="Total"/>
    <n v="121"/>
    <n v="104"/>
    <n v="17"/>
    <m/>
  </r>
  <r>
    <x v="10"/>
    <x v="31"/>
    <s v="Total"/>
    <n v="90"/>
    <n v="85"/>
    <n v="5"/>
    <m/>
  </r>
  <r>
    <x v="10"/>
    <x v="32"/>
    <s v="Total"/>
    <n v="82"/>
    <n v="67"/>
    <n v="15"/>
    <m/>
  </r>
  <r>
    <x v="10"/>
    <x v="33"/>
    <s v="Total"/>
    <n v="86"/>
    <n v="80"/>
    <n v="6"/>
    <m/>
  </r>
  <r>
    <x v="10"/>
    <x v="34"/>
    <s v="Total"/>
    <n v="88"/>
    <n v="78"/>
    <n v="10"/>
    <m/>
  </r>
  <r>
    <x v="11"/>
    <x v="0"/>
    <s v="Total"/>
    <n v="55"/>
    <n v="50"/>
    <n v="5"/>
    <m/>
  </r>
  <r>
    <x v="11"/>
    <x v="1"/>
    <s v="Total"/>
    <n v="64"/>
    <n v="58"/>
    <n v="6"/>
    <m/>
  </r>
  <r>
    <x v="11"/>
    <x v="2"/>
    <s v="Total"/>
    <n v="49"/>
    <n v="46"/>
    <n v="3"/>
    <m/>
  </r>
  <r>
    <x v="11"/>
    <x v="3"/>
    <s v="Total"/>
    <n v="40"/>
    <n v="39"/>
    <n v="1"/>
    <m/>
  </r>
  <r>
    <x v="11"/>
    <x v="4"/>
    <s v="Total"/>
    <n v="29"/>
    <n v="27"/>
    <n v="2"/>
    <m/>
  </r>
  <r>
    <x v="11"/>
    <x v="5"/>
    <s v="Total"/>
    <n v="50"/>
    <n v="48"/>
    <n v="2"/>
    <m/>
  </r>
  <r>
    <x v="11"/>
    <x v="6"/>
    <s v="Total"/>
    <n v="43"/>
    <n v="38"/>
    <n v="5"/>
    <m/>
  </r>
  <r>
    <x v="11"/>
    <x v="7"/>
    <s v="Total"/>
    <n v="35"/>
    <n v="33"/>
    <n v="2"/>
    <m/>
  </r>
  <r>
    <x v="11"/>
    <x v="8"/>
    <s v="Total"/>
    <n v="43"/>
    <n v="40"/>
    <n v="3"/>
    <m/>
  </r>
  <r>
    <x v="11"/>
    <x v="9"/>
    <s v="Total"/>
    <n v="35"/>
    <n v="31"/>
    <n v="4"/>
    <m/>
  </r>
  <r>
    <x v="11"/>
    <x v="10"/>
    <s v="Total"/>
    <n v="28"/>
    <n v="27"/>
    <n v="1"/>
    <m/>
  </r>
  <r>
    <x v="11"/>
    <x v="11"/>
    <s v="Total"/>
    <n v="41"/>
    <n v="36"/>
    <n v="5"/>
    <m/>
  </r>
  <r>
    <x v="11"/>
    <x v="12"/>
    <s v="Total"/>
    <n v="24"/>
    <n v="22"/>
    <n v="2"/>
    <m/>
  </r>
  <r>
    <x v="11"/>
    <x v="13"/>
    <s v="Total"/>
    <n v="48"/>
    <n v="44"/>
    <n v="4"/>
    <m/>
  </r>
  <r>
    <x v="11"/>
    <x v="14"/>
    <s v="Total"/>
    <n v="19"/>
    <n v="18"/>
    <n v="1"/>
    <m/>
  </r>
  <r>
    <x v="11"/>
    <x v="15"/>
    <s v="Total"/>
    <n v="30"/>
    <n v="27"/>
    <n v="3"/>
    <m/>
  </r>
  <r>
    <x v="11"/>
    <x v="16"/>
    <s v="Total"/>
    <n v="25"/>
    <n v="22"/>
    <n v="3"/>
    <m/>
  </r>
  <r>
    <x v="11"/>
    <x v="17"/>
    <s v="Total"/>
    <n v="37"/>
    <n v="34"/>
    <n v="3"/>
    <m/>
  </r>
  <r>
    <x v="11"/>
    <x v="18"/>
    <s v="Total"/>
    <n v="29"/>
    <n v="27"/>
    <n v="2"/>
    <m/>
  </r>
  <r>
    <x v="11"/>
    <x v="19"/>
    <s v="Total"/>
    <n v="51"/>
    <n v="42"/>
    <n v="9"/>
    <m/>
  </r>
  <r>
    <x v="11"/>
    <x v="20"/>
    <s v="Total"/>
    <n v="32"/>
    <n v="29"/>
    <n v="3"/>
    <m/>
  </r>
  <r>
    <x v="11"/>
    <x v="21"/>
    <s v="Total"/>
    <n v="63"/>
    <n v="54"/>
    <n v="9"/>
    <m/>
  </r>
  <r>
    <x v="11"/>
    <x v="22"/>
    <s v="Total"/>
    <n v="65"/>
    <n v="55"/>
    <n v="10"/>
    <m/>
  </r>
  <r>
    <x v="11"/>
    <x v="23"/>
    <s v="Total"/>
    <n v="54"/>
    <n v="47"/>
    <n v="7"/>
    <m/>
  </r>
  <r>
    <x v="11"/>
    <x v="24"/>
    <s v="Total"/>
    <n v="70"/>
    <n v="60"/>
    <n v="10"/>
    <m/>
  </r>
  <r>
    <x v="11"/>
    <x v="25"/>
    <s v="Total"/>
    <n v="72"/>
    <n v="66"/>
    <n v="6"/>
    <m/>
  </r>
  <r>
    <x v="11"/>
    <x v="26"/>
    <s v="Total"/>
    <n v="89"/>
    <n v="80"/>
    <n v="9"/>
    <m/>
  </r>
  <r>
    <x v="11"/>
    <x v="27"/>
    <s v="Total"/>
    <n v="130"/>
    <n v="122"/>
    <n v="8"/>
    <m/>
  </r>
  <r>
    <x v="11"/>
    <x v="28"/>
    <s v="Total"/>
    <n v="116"/>
    <n v="108"/>
    <n v="8"/>
    <m/>
  </r>
  <r>
    <x v="11"/>
    <x v="29"/>
    <s v="Total"/>
    <n v="124"/>
    <n v="116"/>
    <n v="8"/>
    <m/>
  </r>
  <r>
    <x v="11"/>
    <x v="30"/>
    <s v="Total"/>
    <n v="120"/>
    <n v="115"/>
    <n v="5"/>
    <m/>
  </r>
  <r>
    <x v="11"/>
    <x v="31"/>
    <s v="Total"/>
    <n v="82"/>
    <n v="73"/>
    <n v="9"/>
    <m/>
  </r>
  <r>
    <x v="11"/>
    <x v="32"/>
    <s v="Total"/>
    <n v="66"/>
    <n v="58"/>
    <n v="8"/>
    <m/>
  </r>
  <r>
    <x v="11"/>
    <x v="33"/>
    <s v="Total"/>
    <n v="70"/>
    <n v="63"/>
    <n v="7"/>
    <m/>
  </r>
  <r>
    <x v="11"/>
    <x v="34"/>
    <s v="Total"/>
    <n v="86"/>
    <n v="75"/>
    <n v="11"/>
    <m/>
  </r>
  <r>
    <x v="12"/>
    <x v="0"/>
    <s v="Total"/>
    <n v="47"/>
    <n v="43"/>
    <n v="4"/>
    <m/>
  </r>
  <r>
    <x v="12"/>
    <x v="1"/>
    <s v="Total"/>
    <n v="46"/>
    <n v="46"/>
    <m/>
    <m/>
  </r>
  <r>
    <x v="12"/>
    <x v="2"/>
    <s v="Total"/>
    <n v="36"/>
    <n v="32"/>
    <n v="4"/>
    <m/>
  </r>
  <r>
    <x v="12"/>
    <x v="3"/>
    <s v="Total"/>
    <n v="31"/>
    <n v="30"/>
    <n v="1"/>
    <m/>
  </r>
  <r>
    <x v="12"/>
    <x v="4"/>
    <s v="Total"/>
    <n v="31"/>
    <n v="29"/>
    <n v="2"/>
    <m/>
  </r>
  <r>
    <x v="12"/>
    <x v="5"/>
    <s v="Total"/>
    <n v="32"/>
    <n v="26"/>
    <n v="6"/>
    <m/>
  </r>
  <r>
    <x v="12"/>
    <x v="6"/>
    <s v="Total"/>
    <n v="25"/>
    <n v="25"/>
    <m/>
    <m/>
  </r>
  <r>
    <x v="12"/>
    <x v="7"/>
    <s v="Total"/>
    <n v="37"/>
    <n v="35"/>
    <n v="2"/>
    <m/>
  </r>
  <r>
    <x v="12"/>
    <x v="8"/>
    <s v="Total"/>
    <n v="47"/>
    <n v="41"/>
    <n v="6"/>
    <m/>
  </r>
  <r>
    <x v="12"/>
    <x v="9"/>
    <s v="Total"/>
    <n v="30"/>
    <n v="24"/>
    <n v="6"/>
    <m/>
  </r>
  <r>
    <x v="12"/>
    <x v="10"/>
    <s v="Total"/>
    <n v="31"/>
    <n v="27"/>
    <n v="4"/>
    <m/>
  </r>
  <r>
    <x v="12"/>
    <x v="11"/>
    <s v="Total"/>
    <n v="23"/>
    <n v="20"/>
    <n v="3"/>
    <m/>
  </r>
  <r>
    <x v="12"/>
    <x v="12"/>
    <s v="Total"/>
    <n v="23"/>
    <n v="18"/>
    <n v="5"/>
    <m/>
  </r>
  <r>
    <x v="12"/>
    <x v="13"/>
    <s v="Total"/>
    <n v="25"/>
    <n v="23"/>
    <n v="2"/>
    <m/>
  </r>
  <r>
    <x v="12"/>
    <x v="14"/>
    <s v="Total"/>
    <n v="18"/>
    <n v="16"/>
    <n v="2"/>
    <m/>
  </r>
  <r>
    <x v="12"/>
    <x v="15"/>
    <s v="Total"/>
    <n v="25"/>
    <n v="23"/>
    <n v="2"/>
    <m/>
  </r>
  <r>
    <x v="12"/>
    <x v="16"/>
    <s v="Total"/>
    <n v="32"/>
    <n v="30"/>
    <n v="2"/>
    <m/>
  </r>
  <r>
    <x v="12"/>
    <x v="17"/>
    <s v="Total"/>
    <n v="33"/>
    <n v="30"/>
    <n v="3"/>
    <m/>
  </r>
  <r>
    <x v="12"/>
    <x v="18"/>
    <s v="Total"/>
    <n v="20"/>
    <n v="19"/>
    <n v="1"/>
    <m/>
  </r>
  <r>
    <x v="12"/>
    <x v="19"/>
    <s v="Total"/>
    <n v="46"/>
    <n v="39"/>
    <n v="7"/>
    <m/>
  </r>
  <r>
    <x v="12"/>
    <x v="20"/>
    <s v="Total"/>
    <n v="30"/>
    <n v="26"/>
    <n v="4"/>
    <m/>
  </r>
  <r>
    <x v="12"/>
    <x v="21"/>
    <s v="Total"/>
    <n v="38"/>
    <n v="32"/>
    <n v="6"/>
    <m/>
  </r>
  <r>
    <x v="12"/>
    <x v="22"/>
    <s v="Total"/>
    <n v="41"/>
    <n v="37"/>
    <n v="4"/>
    <m/>
  </r>
  <r>
    <x v="12"/>
    <x v="23"/>
    <s v="Total"/>
    <n v="50"/>
    <n v="42"/>
    <n v="8"/>
    <m/>
  </r>
  <r>
    <x v="12"/>
    <x v="24"/>
    <s v="Total"/>
    <n v="49"/>
    <n v="43"/>
    <n v="6"/>
    <m/>
  </r>
  <r>
    <x v="12"/>
    <x v="25"/>
    <s v="Total"/>
    <n v="53"/>
    <n v="45"/>
    <n v="8"/>
    <m/>
  </r>
  <r>
    <x v="12"/>
    <x v="26"/>
    <s v="Total"/>
    <n v="71"/>
    <n v="64"/>
    <n v="7"/>
    <m/>
  </r>
  <r>
    <x v="12"/>
    <x v="27"/>
    <s v="Total"/>
    <n v="105"/>
    <n v="92"/>
    <n v="13"/>
    <m/>
  </r>
  <r>
    <x v="12"/>
    <x v="28"/>
    <s v="Total"/>
    <n v="77"/>
    <n v="69"/>
    <n v="8"/>
    <m/>
  </r>
  <r>
    <x v="12"/>
    <x v="29"/>
    <s v="Total"/>
    <n v="86"/>
    <n v="79"/>
    <n v="7"/>
    <m/>
  </r>
  <r>
    <x v="12"/>
    <x v="30"/>
    <s v="Total"/>
    <n v="70"/>
    <n v="65"/>
    <n v="5"/>
    <m/>
  </r>
  <r>
    <x v="12"/>
    <x v="31"/>
    <s v="Total"/>
    <n v="67"/>
    <n v="65"/>
    <n v="2"/>
    <m/>
  </r>
  <r>
    <x v="12"/>
    <x v="32"/>
    <s v="Total"/>
    <n v="40"/>
    <n v="35"/>
    <n v="5"/>
    <m/>
  </r>
  <r>
    <x v="12"/>
    <x v="33"/>
    <s v="Total"/>
    <n v="42"/>
    <n v="39"/>
    <n v="3"/>
    <m/>
  </r>
  <r>
    <x v="12"/>
    <x v="34"/>
    <s v="Total"/>
    <n v="49"/>
    <n v="44"/>
    <n v="5"/>
    <m/>
  </r>
  <r>
    <x v="13"/>
    <x v="0"/>
    <s v="Total"/>
    <n v="30"/>
    <n v="29"/>
    <n v="1"/>
    <m/>
  </r>
  <r>
    <x v="13"/>
    <x v="1"/>
    <s v="Total"/>
    <n v="36"/>
    <n v="30"/>
    <n v="6"/>
    <m/>
  </r>
  <r>
    <x v="13"/>
    <x v="2"/>
    <s v="Total"/>
    <n v="26"/>
    <n v="23"/>
    <n v="3"/>
    <m/>
  </r>
  <r>
    <x v="13"/>
    <x v="3"/>
    <s v="Total"/>
    <n v="33"/>
    <n v="32"/>
    <n v="1"/>
    <m/>
  </r>
  <r>
    <x v="13"/>
    <x v="4"/>
    <s v="Total"/>
    <n v="36"/>
    <n v="34"/>
    <n v="2"/>
    <m/>
  </r>
  <r>
    <x v="13"/>
    <x v="5"/>
    <s v="Total"/>
    <n v="33"/>
    <n v="30"/>
    <n v="3"/>
    <m/>
  </r>
  <r>
    <x v="13"/>
    <x v="6"/>
    <s v="Total"/>
    <n v="22"/>
    <n v="20"/>
    <n v="2"/>
    <m/>
  </r>
  <r>
    <x v="13"/>
    <x v="7"/>
    <s v="Total"/>
    <n v="33"/>
    <n v="29"/>
    <n v="4"/>
    <m/>
  </r>
  <r>
    <x v="13"/>
    <x v="8"/>
    <s v="Total"/>
    <n v="22"/>
    <n v="20"/>
    <n v="2"/>
    <m/>
  </r>
  <r>
    <x v="13"/>
    <x v="9"/>
    <s v="Total"/>
    <n v="28"/>
    <n v="26"/>
    <n v="2"/>
    <m/>
  </r>
  <r>
    <x v="13"/>
    <x v="10"/>
    <s v="Total"/>
    <n v="35"/>
    <n v="32"/>
    <n v="3"/>
    <m/>
  </r>
  <r>
    <x v="13"/>
    <x v="11"/>
    <s v="Total"/>
    <n v="17"/>
    <n v="15"/>
    <n v="2"/>
    <m/>
  </r>
  <r>
    <x v="13"/>
    <x v="12"/>
    <s v="Total"/>
    <n v="26"/>
    <n v="20"/>
    <n v="6"/>
    <m/>
  </r>
  <r>
    <x v="13"/>
    <x v="13"/>
    <s v="Total"/>
    <n v="23"/>
    <n v="19"/>
    <n v="4"/>
    <m/>
  </r>
  <r>
    <x v="13"/>
    <x v="14"/>
    <s v="Total"/>
    <n v="23"/>
    <n v="22"/>
    <n v="1"/>
    <m/>
  </r>
  <r>
    <x v="13"/>
    <x v="15"/>
    <s v="Total"/>
    <n v="17"/>
    <n v="14"/>
    <n v="3"/>
    <m/>
  </r>
  <r>
    <x v="13"/>
    <x v="16"/>
    <s v="Total"/>
    <n v="17"/>
    <n v="16"/>
    <n v="1"/>
    <m/>
  </r>
  <r>
    <x v="13"/>
    <x v="17"/>
    <s v="Total"/>
    <n v="30"/>
    <n v="28"/>
    <n v="2"/>
    <m/>
  </r>
  <r>
    <x v="13"/>
    <x v="18"/>
    <s v="Total"/>
    <n v="18"/>
    <n v="14"/>
    <n v="4"/>
    <m/>
  </r>
  <r>
    <x v="13"/>
    <x v="19"/>
    <s v="Total"/>
    <n v="39"/>
    <n v="37"/>
    <n v="2"/>
    <m/>
  </r>
  <r>
    <x v="13"/>
    <x v="20"/>
    <s v="Total"/>
    <n v="30"/>
    <n v="26"/>
    <n v="4"/>
    <m/>
  </r>
  <r>
    <x v="13"/>
    <x v="21"/>
    <s v="Total"/>
    <n v="37"/>
    <n v="30"/>
    <n v="7"/>
    <m/>
  </r>
  <r>
    <x v="13"/>
    <x v="22"/>
    <s v="Total"/>
    <n v="40"/>
    <n v="34"/>
    <n v="6"/>
    <m/>
  </r>
  <r>
    <x v="13"/>
    <x v="23"/>
    <s v="Total"/>
    <n v="38"/>
    <n v="31"/>
    <n v="7"/>
    <m/>
  </r>
  <r>
    <x v="13"/>
    <x v="24"/>
    <s v="Total"/>
    <n v="35"/>
    <n v="31"/>
    <n v="4"/>
    <m/>
  </r>
  <r>
    <x v="13"/>
    <x v="25"/>
    <s v="Total"/>
    <n v="28"/>
    <n v="26"/>
    <n v="2"/>
    <m/>
  </r>
  <r>
    <x v="13"/>
    <x v="26"/>
    <s v="Total"/>
    <n v="57"/>
    <n v="50"/>
    <n v="7"/>
    <m/>
  </r>
  <r>
    <x v="13"/>
    <x v="27"/>
    <s v="Total"/>
    <n v="82"/>
    <n v="75"/>
    <n v="7"/>
    <m/>
  </r>
  <r>
    <x v="13"/>
    <x v="28"/>
    <s v="Total"/>
    <n v="46"/>
    <n v="37"/>
    <n v="9"/>
    <m/>
  </r>
  <r>
    <x v="13"/>
    <x v="29"/>
    <s v="Total"/>
    <n v="58"/>
    <n v="51"/>
    <n v="7"/>
    <m/>
  </r>
  <r>
    <x v="13"/>
    <x v="30"/>
    <s v="Total"/>
    <n v="57"/>
    <n v="52"/>
    <n v="5"/>
    <m/>
  </r>
  <r>
    <x v="13"/>
    <x v="31"/>
    <s v="Total"/>
    <n v="42"/>
    <n v="39"/>
    <n v="3"/>
    <m/>
  </r>
  <r>
    <x v="13"/>
    <x v="32"/>
    <s v="Total"/>
    <n v="51"/>
    <n v="48"/>
    <n v="3"/>
    <m/>
  </r>
  <r>
    <x v="13"/>
    <x v="33"/>
    <s v="Total"/>
    <n v="50"/>
    <n v="42"/>
    <n v="8"/>
    <m/>
  </r>
  <r>
    <x v="13"/>
    <x v="34"/>
    <s v="Total"/>
    <n v="34"/>
    <n v="31"/>
    <n v="3"/>
    <m/>
  </r>
  <r>
    <x v="14"/>
    <x v="0"/>
    <s v="Total"/>
    <n v="30"/>
    <n v="27"/>
    <n v="3"/>
    <m/>
  </r>
  <r>
    <x v="14"/>
    <x v="1"/>
    <s v="Total"/>
    <n v="23"/>
    <n v="22"/>
    <n v="1"/>
    <m/>
  </r>
  <r>
    <x v="14"/>
    <x v="2"/>
    <s v="Total"/>
    <n v="24"/>
    <n v="22"/>
    <n v="2"/>
    <m/>
  </r>
  <r>
    <x v="14"/>
    <x v="3"/>
    <s v="Total"/>
    <n v="15"/>
    <n v="13"/>
    <n v="2"/>
    <m/>
  </r>
  <r>
    <x v="14"/>
    <x v="4"/>
    <s v="Total"/>
    <n v="27"/>
    <n v="27"/>
    <m/>
    <m/>
  </r>
  <r>
    <x v="14"/>
    <x v="5"/>
    <s v="Total"/>
    <n v="17"/>
    <n v="17"/>
    <m/>
    <m/>
  </r>
  <r>
    <x v="14"/>
    <x v="6"/>
    <s v="Total"/>
    <n v="14"/>
    <n v="14"/>
    <m/>
    <m/>
  </r>
  <r>
    <x v="14"/>
    <x v="7"/>
    <s v="Total"/>
    <n v="27"/>
    <n v="23"/>
    <n v="4"/>
    <m/>
  </r>
  <r>
    <x v="14"/>
    <x v="8"/>
    <s v="Total"/>
    <n v="12"/>
    <n v="11"/>
    <n v="1"/>
    <m/>
  </r>
  <r>
    <x v="14"/>
    <x v="9"/>
    <s v="Total"/>
    <n v="15"/>
    <n v="15"/>
    <m/>
    <m/>
  </r>
  <r>
    <x v="14"/>
    <x v="10"/>
    <s v="Total"/>
    <n v="9"/>
    <n v="8"/>
    <n v="1"/>
    <m/>
  </r>
  <r>
    <x v="14"/>
    <x v="11"/>
    <s v="Total"/>
    <n v="16"/>
    <n v="14"/>
    <n v="2"/>
    <m/>
  </r>
  <r>
    <x v="14"/>
    <x v="12"/>
    <s v="Total"/>
    <n v="15"/>
    <n v="12"/>
    <n v="3"/>
    <m/>
  </r>
  <r>
    <x v="14"/>
    <x v="13"/>
    <s v="Total"/>
    <n v="17"/>
    <n v="16"/>
    <n v="1"/>
    <m/>
  </r>
  <r>
    <x v="14"/>
    <x v="14"/>
    <s v="Total"/>
    <n v="19"/>
    <n v="17"/>
    <n v="2"/>
    <m/>
  </r>
  <r>
    <x v="14"/>
    <x v="15"/>
    <s v="Total"/>
    <n v="14"/>
    <n v="12"/>
    <n v="2"/>
    <m/>
  </r>
  <r>
    <x v="14"/>
    <x v="16"/>
    <s v="Total"/>
    <n v="17"/>
    <n v="16"/>
    <n v="1"/>
    <m/>
  </r>
  <r>
    <x v="14"/>
    <x v="17"/>
    <s v="Total"/>
    <n v="17"/>
    <n v="14"/>
    <n v="3"/>
    <m/>
  </r>
  <r>
    <x v="14"/>
    <x v="18"/>
    <s v="Total"/>
    <n v="18"/>
    <n v="14"/>
    <n v="4"/>
    <m/>
  </r>
  <r>
    <x v="14"/>
    <x v="19"/>
    <s v="Total"/>
    <n v="25"/>
    <n v="24"/>
    <n v="1"/>
    <m/>
  </r>
  <r>
    <x v="14"/>
    <x v="20"/>
    <s v="Total"/>
    <n v="16"/>
    <n v="14"/>
    <n v="2"/>
    <m/>
  </r>
  <r>
    <x v="14"/>
    <x v="21"/>
    <s v="Total"/>
    <n v="25"/>
    <n v="18"/>
    <n v="7"/>
    <m/>
  </r>
  <r>
    <x v="14"/>
    <x v="22"/>
    <s v="Total"/>
    <n v="25"/>
    <n v="24"/>
    <n v="1"/>
    <m/>
  </r>
  <r>
    <x v="14"/>
    <x v="23"/>
    <s v="Total"/>
    <n v="23"/>
    <n v="23"/>
    <m/>
    <m/>
  </r>
  <r>
    <x v="14"/>
    <x v="24"/>
    <s v="Total"/>
    <n v="26"/>
    <n v="24"/>
    <n v="2"/>
    <m/>
  </r>
  <r>
    <x v="14"/>
    <x v="25"/>
    <s v="Total"/>
    <n v="32"/>
    <n v="31"/>
    <n v="1"/>
    <m/>
  </r>
  <r>
    <x v="14"/>
    <x v="26"/>
    <s v="Total"/>
    <n v="29"/>
    <n v="27"/>
    <n v="2"/>
    <m/>
  </r>
  <r>
    <x v="14"/>
    <x v="27"/>
    <s v="Total"/>
    <n v="43"/>
    <n v="37"/>
    <n v="6"/>
    <m/>
  </r>
  <r>
    <x v="14"/>
    <x v="28"/>
    <s v="Total"/>
    <n v="37"/>
    <n v="37"/>
    <m/>
    <m/>
  </r>
  <r>
    <x v="14"/>
    <x v="29"/>
    <s v="Total"/>
    <n v="36"/>
    <n v="32"/>
    <n v="4"/>
    <m/>
  </r>
  <r>
    <x v="14"/>
    <x v="30"/>
    <s v="Total"/>
    <n v="30"/>
    <n v="24"/>
    <n v="6"/>
    <m/>
  </r>
  <r>
    <x v="14"/>
    <x v="31"/>
    <s v="Total"/>
    <n v="35"/>
    <n v="31"/>
    <n v="4"/>
    <m/>
  </r>
  <r>
    <x v="14"/>
    <x v="32"/>
    <s v="Total"/>
    <n v="27"/>
    <n v="25"/>
    <n v="2"/>
    <m/>
  </r>
  <r>
    <x v="14"/>
    <x v="33"/>
    <s v="Total"/>
    <n v="29"/>
    <n v="24"/>
    <n v="5"/>
    <m/>
  </r>
  <r>
    <x v="14"/>
    <x v="34"/>
    <s v="Total"/>
    <n v="27"/>
    <n v="25"/>
    <n v="2"/>
    <m/>
  </r>
  <r>
    <x v="15"/>
    <x v="0"/>
    <s v="Total"/>
    <n v="13"/>
    <n v="12"/>
    <n v="1"/>
    <m/>
  </r>
  <r>
    <x v="15"/>
    <x v="1"/>
    <s v="Total"/>
    <n v="17"/>
    <n v="16"/>
    <n v="1"/>
    <m/>
  </r>
  <r>
    <x v="15"/>
    <x v="2"/>
    <s v="Total"/>
    <n v="11"/>
    <n v="10"/>
    <n v="1"/>
    <m/>
  </r>
  <r>
    <x v="15"/>
    <x v="3"/>
    <s v="Total"/>
    <n v="15"/>
    <n v="15"/>
    <m/>
    <m/>
  </r>
  <r>
    <x v="15"/>
    <x v="4"/>
    <s v="Total"/>
    <n v="11"/>
    <n v="9"/>
    <n v="2"/>
    <m/>
  </r>
  <r>
    <x v="15"/>
    <x v="5"/>
    <s v="Total"/>
    <n v="9"/>
    <n v="8"/>
    <n v="1"/>
    <m/>
  </r>
  <r>
    <x v="15"/>
    <x v="6"/>
    <s v="Total"/>
    <n v="12"/>
    <n v="11"/>
    <n v="1"/>
    <m/>
  </r>
  <r>
    <x v="15"/>
    <x v="7"/>
    <s v="Total"/>
    <n v="10"/>
    <n v="8"/>
    <n v="2"/>
    <m/>
  </r>
  <r>
    <x v="15"/>
    <x v="8"/>
    <s v="Total"/>
    <n v="17"/>
    <n v="15"/>
    <n v="2"/>
    <m/>
  </r>
  <r>
    <x v="15"/>
    <x v="9"/>
    <s v="Total"/>
    <n v="17"/>
    <n v="14"/>
    <n v="3"/>
    <m/>
  </r>
  <r>
    <x v="15"/>
    <x v="10"/>
    <s v="Total"/>
    <n v="8"/>
    <n v="6"/>
    <n v="2"/>
    <m/>
  </r>
  <r>
    <x v="15"/>
    <x v="11"/>
    <s v="Total"/>
    <n v="13"/>
    <n v="11"/>
    <n v="2"/>
    <m/>
  </r>
  <r>
    <x v="15"/>
    <x v="12"/>
    <s v="Total"/>
    <n v="13"/>
    <n v="11"/>
    <n v="2"/>
    <m/>
  </r>
  <r>
    <x v="15"/>
    <x v="13"/>
    <s v="Total"/>
    <n v="12"/>
    <n v="11"/>
    <n v="1"/>
    <m/>
  </r>
  <r>
    <x v="15"/>
    <x v="14"/>
    <s v="Total"/>
    <n v="6"/>
    <n v="5"/>
    <n v="1"/>
    <m/>
  </r>
  <r>
    <x v="15"/>
    <x v="15"/>
    <s v="Total"/>
    <n v="11"/>
    <n v="10"/>
    <n v="1"/>
    <m/>
  </r>
  <r>
    <x v="15"/>
    <x v="16"/>
    <s v="Total"/>
    <n v="9"/>
    <n v="8"/>
    <n v="1"/>
    <m/>
  </r>
  <r>
    <x v="15"/>
    <x v="17"/>
    <s v="Total"/>
    <n v="13"/>
    <n v="12"/>
    <n v="1"/>
    <m/>
  </r>
  <r>
    <x v="15"/>
    <x v="18"/>
    <s v="Total"/>
    <n v="9"/>
    <n v="8"/>
    <n v="1"/>
    <m/>
  </r>
  <r>
    <x v="15"/>
    <x v="19"/>
    <s v="Total"/>
    <n v="8"/>
    <n v="6"/>
    <n v="2"/>
    <m/>
  </r>
  <r>
    <x v="15"/>
    <x v="20"/>
    <s v="Total"/>
    <n v="10"/>
    <n v="7"/>
    <n v="3"/>
    <m/>
  </r>
  <r>
    <x v="15"/>
    <x v="21"/>
    <s v="Total"/>
    <n v="26"/>
    <n v="19"/>
    <n v="7"/>
    <m/>
  </r>
  <r>
    <x v="15"/>
    <x v="22"/>
    <s v="Total"/>
    <n v="19"/>
    <n v="17"/>
    <n v="2"/>
    <m/>
  </r>
  <r>
    <x v="15"/>
    <x v="23"/>
    <s v="Total"/>
    <n v="12"/>
    <n v="8"/>
    <n v="4"/>
    <m/>
  </r>
  <r>
    <x v="15"/>
    <x v="24"/>
    <s v="Total"/>
    <n v="19"/>
    <n v="17"/>
    <n v="2"/>
    <m/>
  </r>
  <r>
    <x v="15"/>
    <x v="25"/>
    <s v="Total"/>
    <n v="14"/>
    <n v="14"/>
    <m/>
    <m/>
  </r>
  <r>
    <x v="15"/>
    <x v="26"/>
    <s v="Total"/>
    <n v="21"/>
    <n v="20"/>
    <n v="1"/>
    <m/>
  </r>
  <r>
    <x v="15"/>
    <x v="27"/>
    <s v="Total"/>
    <n v="29"/>
    <n v="26"/>
    <n v="3"/>
    <m/>
  </r>
  <r>
    <x v="15"/>
    <x v="28"/>
    <s v="Total"/>
    <n v="24"/>
    <n v="19"/>
    <n v="5"/>
    <m/>
  </r>
  <r>
    <x v="15"/>
    <x v="29"/>
    <s v="Total"/>
    <n v="30"/>
    <n v="24"/>
    <n v="6"/>
    <m/>
  </r>
  <r>
    <x v="15"/>
    <x v="30"/>
    <s v="Total"/>
    <n v="28"/>
    <n v="22"/>
    <n v="6"/>
    <m/>
  </r>
  <r>
    <x v="15"/>
    <x v="31"/>
    <s v="Total"/>
    <n v="24"/>
    <n v="19"/>
    <n v="5"/>
    <m/>
  </r>
  <r>
    <x v="15"/>
    <x v="32"/>
    <s v="Total"/>
    <n v="14"/>
    <n v="9"/>
    <n v="5"/>
    <m/>
  </r>
  <r>
    <x v="15"/>
    <x v="33"/>
    <s v="Total"/>
    <n v="27"/>
    <n v="22"/>
    <n v="5"/>
    <m/>
  </r>
  <r>
    <x v="15"/>
    <x v="34"/>
    <s v="Total"/>
    <n v="16"/>
    <n v="11"/>
    <n v="5"/>
    <m/>
  </r>
  <r>
    <x v="16"/>
    <x v="0"/>
    <s v="Total"/>
    <n v="10"/>
    <n v="8"/>
    <n v="2"/>
    <m/>
  </r>
  <r>
    <x v="16"/>
    <x v="1"/>
    <s v="Total"/>
    <n v="12"/>
    <n v="10"/>
    <n v="2"/>
    <m/>
  </r>
  <r>
    <x v="16"/>
    <x v="2"/>
    <s v="Total"/>
    <n v="15"/>
    <n v="13"/>
    <n v="2"/>
    <m/>
  </r>
  <r>
    <x v="16"/>
    <x v="3"/>
    <s v="Total"/>
    <n v="13"/>
    <n v="11"/>
    <n v="2"/>
    <m/>
  </r>
  <r>
    <x v="16"/>
    <x v="4"/>
    <s v="Total"/>
    <n v="6"/>
    <n v="6"/>
    <m/>
    <m/>
  </r>
  <r>
    <x v="16"/>
    <x v="5"/>
    <s v="Total"/>
    <n v="9"/>
    <n v="8"/>
    <n v="1"/>
    <m/>
  </r>
  <r>
    <x v="16"/>
    <x v="6"/>
    <s v="Total"/>
    <n v="9"/>
    <n v="7"/>
    <n v="2"/>
    <m/>
  </r>
  <r>
    <x v="16"/>
    <x v="7"/>
    <s v="Total"/>
    <n v="12"/>
    <n v="12"/>
    <m/>
    <m/>
  </r>
  <r>
    <x v="16"/>
    <x v="8"/>
    <s v="Total"/>
    <n v="14"/>
    <n v="13"/>
    <n v="1"/>
    <m/>
  </r>
  <r>
    <x v="16"/>
    <x v="9"/>
    <s v="Total"/>
    <n v="14"/>
    <n v="13"/>
    <n v="1"/>
    <m/>
  </r>
  <r>
    <x v="16"/>
    <x v="10"/>
    <s v="Total"/>
    <n v="6"/>
    <n v="6"/>
    <m/>
    <m/>
  </r>
  <r>
    <x v="16"/>
    <x v="11"/>
    <s v="Total"/>
    <n v="8"/>
    <n v="6"/>
    <n v="2"/>
    <m/>
  </r>
  <r>
    <x v="16"/>
    <x v="12"/>
    <s v="Total"/>
    <n v="4"/>
    <n v="3"/>
    <n v="1"/>
    <m/>
  </r>
  <r>
    <x v="16"/>
    <x v="13"/>
    <s v="Total"/>
    <n v="7"/>
    <n v="5"/>
    <n v="2"/>
    <m/>
  </r>
  <r>
    <x v="16"/>
    <x v="14"/>
    <s v="Total"/>
    <n v="7"/>
    <n v="6"/>
    <n v="1"/>
    <m/>
  </r>
  <r>
    <x v="16"/>
    <x v="15"/>
    <s v="Total"/>
    <n v="5"/>
    <n v="4"/>
    <n v="1"/>
    <m/>
  </r>
  <r>
    <x v="16"/>
    <x v="16"/>
    <s v="Total"/>
    <n v="10"/>
    <n v="9"/>
    <n v="1"/>
    <m/>
  </r>
  <r>
    <x v="16"/>
    <x v="17"/>
    <s v="Total"/>
    <n v="6"/>
    <n v="5"/>
    <n v="1"/>
    <m/>
  </r>
  <r>
    <x v="16"/>
    <x v="18"/>
    <s v="Total"/>
    <n v="13"/>
    <n v="10"/>
    <n v="3"/>
    <m/>
  </r>
  <r>
    <x v="16"/>
    <x v="19"/>
    <s v="Total"/>
    <n v="10"/>
    <n v="9"/>
    <n v="1"/>
    <m/>
  </r>
  <r>
    <x v="16"/>
    <x v="20"/>
    <s v="Total"/>
    <n v="14"/>
    <n v="11"/>
    <n v="3"/>
    <m/>
  </r>
  <r>
    <x v="16"/>
    <x v="21"/>
    <s v="Total"/>
    <n v="14"/>
    <n v="12"/>
    <n v="2"/>
    <m/>
  </r>
  <r>
    <x v="16"/>
    <x v="22"/>
    <s v="Total"/>
    <n v="13"/>
    <n v="13"/>
    <m/>
    <m/>
  </r>
  <r>
    <x v="16"/>
    <x v="23"/>
    <s v="Total"/>
    <n v="12"/>
    <n v="9"/>
    <n v="3"/>
    <m/>
  </r>
  <r>
    <x v="16"/>
    <x v="24"/>
    <s v="Total"/>
    <n v="8"/>
    <n v="7"/>
    <n v="1"/>
    <m/>
  </r>
  <r>
    <x v="16"/>
    <x v="25"/>
    <s v="Total"/>
    <n v="14"/>
    <n v="11"/>
    <n v="3"/>
    <m/>
  </r>
  <r>
    <x v="16"/>
    <x v="26"/>
    <s v="Total"/>
    <n v="8"/>
    <n v="6"/>
    <n v="2"/>
    <m/>
  </r>
  <r>
    <x v="16"/>
    <x v="27"/>
    <s v="Total"/>
    <n v="20"/>
    <n v="16"/>
    <n v="4"/>
    <m/>
  </r>
  <r>
    <x v="16"/>
    <x v="28"/>
    <s v="Total"/>
    <n v="21"/>
    <n v="20"/>
    <n v="1"/>
    <m/>
  </r>
  <r>
    <x v="16"/>
    <x v="29"/>
    <s v="Total"/>
    <n v="21"/>
    <n v="18"/>
    <n v="3"/>
    <m/>
  </r>
  <r>
    <x v="16"/>
    <x v="30"/>
    <s v="Total"/>
    <n v="18"/>
    <n v="14"/>
    <n v="4"/>
    <m/>
  </r>
  <r>
    <x v="16"/>
    <x v="31"/>
    <s v="Total"/>
    <n v="15"/>
    <n v="13"/>
    <n v="2"/>
    <m/>
  </r>
  <r>
    <x v="16"/>
    <x v="32"/>
    <s v="Total"/>
    <n v="11"/>
    <n v="9"/>
    <n v="2"/>
    <m/>
  </r>
  <r>
    <x v="16"/>
    <x v="33"/>
    <s v="Total"/>
    <n v="16"/>
    <n v="13"/>
    <n v="3"/>
    <m/>
  </r>
  <r>
    <x v="16"/>
    <x v="34"/>
    <s v="Total"/>
    <n v="12"/>
    <n v="10"/>
    <n v="2"/>
    <m/>
  </r>
  <r>
    <x v="17"/>
    <x v="0"/>
    <s v="Total"/>
    <n v="13"/>
    <n v="11"/>
    <n v="2"/>
    <m/>
  </r>
  <r>
    <x v="17"/>
    <x v="1"/>
    <s v="Total"/>
    <n v="9"/>
    <n v="7"/>
    <n v="2"/>
    <m/>
  </r>
  <r>
    <x v="17"/>
    <x v="2"/>
    <s v="Total"/>
    <n v="7"/>
    <n v="5"/>
    <n v="2"/>
    <m/>
  </r>
  <r>
    <x v="17"/>
    <x v="3"/>
    <s v="Total"/>
    <n v="4"/>
    <n v="4"/>
    <m/>
    <m/>
  </r>
  <r>
    <x v="17"/>
    <x v="4"/>
    <s v="Total"/>
    <n v="5"/>
    <n v="3"/>
    <n v="2"/>
    <m/>
  </r>
  <r>
    <x v="17"/>
    <x v="5"/>
    <s v="Total"/>
    <n v="6"/>
    <n v="4"/>
    <n v="2"/>
    <m/>
  </r>
  <r>
    <x v="17"/>
    <x v="6"/>
    <s v="Total"/>
    <n v="8"/>
    <n v="6"/>
    <n v="2"/>
    <m/>
  </r>
  <r>
    <x v="17"/>
    <x v="7"/>
    <s v="Total"/>
    <n v="9"/>
    <n v="9"/>
    <m/>
    <m/>
  </r>
  <r>
    <x v="17"/>
    <x v="8"/>
    <s v="Total"/>
    <n v="8"/>
    <n v="5"/>
    <n v="3"/>
    <m/>
  </r>
  <r>
    <x v="17"/>
    <x v="9"/>
    <s v="Total"/>
    <n v="9"/>
    <n v="8"/>
    <n v="1"/>
    <m/>
  </r>
  <r>
    <x v="17"/>
    <x v="10"/>
    <s v="Total"/>
    <n v="3"/>
    <n v="2"/>
    <n v="1"/>
    <m/>
  </r>
  <r>
    <x v="17"/>
    <x v="11"/>
    <s v="Total"/>
    <n v="3"/>
    <n v="3"/>
    <m/>
    <m/>
  </r>
  <r>
    <x v="17"/>
    <x v="12"/>
    <s v="Total"/>
    <n v="3"/>
    <n v="3"/>
    <m/>
    <m/>
  </r>
  <r>
    <x v="17"/>
    <x v="13"/>
    <s v="Total"/>
    <n v="5"/>
    <n v="4"/>
    <n v="1"/>
    <m/>
  </r>
  <r>
    <x v="17"/>
    <x v="14"/>
    <s v="Total"/>
    <n v="7"/>
    <n v="6"/>
    <n v="1"/>
    <m/>
  </r>
  <r>
    <x v="17"/>
    <x v="15"/>
    <s v="Total"/>
    <n v="1"/>
    <n v="1"/>
    <m/>
    <m/>
  </r>
  <r>
    <x v="17"/>
    <x v="16"/>
    <s v="Total"/>
    <n v="8"/>
    <n v="8"/>
    <m/>
    <m/>
  </r>
  <r>
    <x v="17"/>
    <x v="17"/>
    <s v="Total"/>
    <n v="3"/>
    <n v="3"/>
    <m/>
    <m/>
  </r>
  <r>
    <x v="17"/>
    <x v="18"/>
    <s v="Total"/>
    <n v="7"/>
    <n v="5"/>
    <n v="2"/>
    <m/>
  </r>
  <r>
    <x v="17"/>
    <x v="19"/>
    <s v="Total"/>
    <n v="11"/>
    <n v="10"/>
    <n v="1"/>
    <m/>
  </r>
  <r>
    <x v="17"/>
    <x v="20"/>
    <s v="Total"/>
    <n v="4"/>
    <n v="3"/>
    <n v="1"/>
    <m/>
  </r>
  <r>
    <x v="17"/>
    <x v="21"/>
    <s v="Total"/>
    <n v="9"/>
    <n v="6"/>
    <n v="3"/>
    <m/>
  </r>
  <r>
    <x v="17"/>
    <x v="22"/>
    <s v="Total"/>
    <n v="8"/>
    <n v="7"/>
    <n v="1"/>
    <m/>
  </r>
  <r>
    <x v="17"/>
    <x v="23"/>
    <s v="Total"/>
    <n v="6"/>
    <n v="6"/>
    <m/>
    <m/>
  </r>
  <r>
    <x v="17"/>
    <x v="24"/>
    <s v="Total"/>
    <n v="12"/>
    <n v="9"/>
    <n v="3"/>
    <m/>
  </r>
  <r>
    <x v="17"/>
    <x v="25"/>
    <s v="Total"/>
    <n v="9"/>
    <n v="7"/>
    <n v="2"/>
    <m/>
  </r>
  <r>
    <x v="17"/>
    <x v="26"/>
    <s v="Total"/>
    <n v="12"/>
    <n v="10"/>
    <n v="2"/>
    <m/>
  </r>
  <r>
    <x v="17"/>
    <x v="27"/>
    <s v="Total"/>
    <n v="7"/>
    <n v="7"/>
    <m/>
    <m/>
  </r>
  <r>
    <x v="17"/>
    <x v="28"/>
    <s v="Total"/>
    <n v="10"/>
    <n v="7"/>
    <n v="3"/>
    <m/>
  </r>
  <r>
    <x v="17"/>
    <x v="29"/>
    <s v="Total"/>
    <n v="9"/>
    <n v="7"/>
    <n v="2"/>
    <m/>
  </r>
  <r>
    <x v="17"/>
    <x v="30"/>
    <s v="Total"/>
    <n v="5"/>
    <n v="5"/>
    <m/>
    <m/>
  </r>
  <r>
    <x v="17"/>
    <x v="31"/>
    <s v="Total"/>
    <n v="7"/>
    <n v="5"/>
    <n v="2"/>
    <m/>
  </r>
  <r>
    <x v="17"/>
    <x v="32"/>
    <s v="Total"/>
    <n v="8"/>
    <n v="7"/>
    <n v="1"/>
    <m/>
  </r>
  <r>
    <x v="17"/>
    <x v="33"/>
    <s v="Total"/>
    <n v="8"/>
    <n v="7"/>
    <n v="1"/>
    <m/>
  </r>
  <r>
    <x v="17"/>
    <x v="34"/>
    <s v="Total"/>
    <n v="8"/>
    <n v="6"/>
    <n v="2"/>
    <m/>
  </r>
  <r>
    <x v="18"/>
    <x v="0"/>
    <s v="Total"/>
    <n v="5"/>
    <n v="5"/>
    <m/>
    <m/>
  </r>
  <r>
    <x v="18"/>
    <x v="1"/>
    <s v="Total"/>
    <n v="5"/>
    <n v="5"/>
    <m/>
    <m/>
  </r>
  <r>
    <x v="18"/>
    <x v="2"/>
    <s v="Total"/>
    <n v="6"/>
    <n v="5"/>
    <n v="1"/>
    <m/>
  </r>
  <r>
    <x v="18"/>
    <x v="3"/>
    <s v="Total"/>
    <n v="3"/>
    <n v="2"/>
    <n v="1"/>
    <m/>
  </r>
  <r>
    <x v="18"/>
    <x v="4"/>
    <s v="Total"/>
    <n v="4"/>
    <n v="3"/>
    <n v="1"/>
    <m/>
  </r>
  <r>
    <x v="18"/>
    <x v="5"/>
    <s v="Total"/>
    <n v="2"/>
    <n v="2"/>
    <m/>
    <m/>
  </r>
  <r>
    <x v="18"/>
    <x v="6"/>
    <s v="Total"/>
    <n v="4"/>
    <n v="2"/>
    <n v="2"/>
    <m/>
  </r>
  <r>
    <x v="18"/>
    <x v="7"/>
    <s v="Total"/>
    <n v="3"/>
    <n v="3"/>
    <m/>
    <m/>
  </r>
  <r>
    <x v="18"/>
    <x v="8"/>
    <s v="Total"/>
    <n v="3"/>
    <n v="3"/>
    <m/>
    <m/>
  </r>
  <r>
    <x v="18"/>
    <x v="9"/>
    <s v="Total"/>
    <n v="3"/>
    <n v="2"/>
    <n v="1"/>
    <m/>
  </r>
  <r>
    <x v="18"/>
    <x v="10"/>
    <s v="Total"/>
    <n v="3"/>
    <n v="2"/>
    <n v="1"/>
    <m/>
  </r>
  <r>
    <x v="18"/>
    <x v="11"/>
    <s v="Total"/>
    <n v="2"/>
    <n v="1"/>
    <n v="1"/>
    <m/>
  </r>
  <r>
    <x v="18"/>
    <x v="12"/>
    <s v="Total"/>
    <n v="5"/>
    <n v="5"/>
    <m/>
    <m/>
  </r>
  <r>
    <x v="18"/>
    <x v="13"/>
    <s v="Total"/>
    <n v="4"/>
    <n v="4"/>
    <m/>
    <m/>
  </r>
  <r>
    <x v="18"/>
    <x v="14"/>
    <s v="Total"/>
    <n v="3"/>
    <n v="3"/>
    <m/>
    <m/>
  </r>
  <r>
    <x v="18"/>
    <x v="15"/>
    <s v="Total"/>
    <n v="3"/>
    <n v="2"/>
    <n v="1"/>
    <m/>
  </r>
  <r>
    <x v="18"/>
    <x v="16"/>
    <s v="Total"/>
    <n v="3"/>
    <n v="2"/>
    <n v="1"/>
    <m/>
  </r>
  <r>
    <x v="18"/>
    <x v="17"/>
    <s v="Total"/>
    <n v="2"/>
    <n v="2"/>
    <m/>
    <m/>
  </r>
  <r>
    <x v="18"/>
    <x v="18"/>
    <s v="Total"/>
    <n v="2"/>
    <n v="2"/>
    <m/>
    <m/>
  </r>
  <r>
    <x v="18"/>
    <x v="19"/>
    <s v="Total"/>
    <n v="6"/>
    <n v="5"/>
    <n v="1"/>
    <m/>
  </r>
  <r>
    <x v="18"/>
    <x v="21"/>
    <s v="Total"/>
    <n v="4"/>
    <n v="3"/>
    <n v="1"/>
    <m/>
  </r>
  <r>
    <x v="18"/>
    <x v="22"/>
    <s v="Total"/>
    <n v="4"/>
    <n v="3"/>
    <n v="1"/>
    <m/>
  </r>
  <r>
    <x v="18"/>
    <x v="23"/>
    <s v="Total"/>
    <n v="3"/>
    <n v="3"/>
    <m/>
    <m/>
  </r>
  <r>
    <x v="18"/>
    <x v="24"/>
    <s v="Total"/>
    <n v="10"/>
    <n v="9"/>
    <n v="1"/>
    <m/>
  </r>
  <r>
    <x v="18"/>
    <x v="25"/>
    <s v="Total"/>
    <n v="5"/>
    <n v="1"/>
    <n v="4"/>
    <m/>
  </r>
  <r>
    <x v="18"/>
    <x v="26"/>
    <s v="Total"/>
    <n v="8"/>
    <n v="4"/>
    <n v="4"/>
    <m/>
  </r>
  <r>
    <x v="18"/>
    <x v="27"/>
    <s v="Total"/>
    <n v="4"/>
    <n v="3"/>
    <n v="1"/>
    <m/>
  </r>
  <r>
    <x v="18"/>
    <x v="28"/>
    <s v="Total"/>
    <n v="2"/>
    <n v="1"/>
    <n v="1"/>
    <m/>
  </r>
  <r>
    <x v="18"/>
    <x v="29"/>
    <s v="Total"/>
    <n v="4"/>
    <n v="3"/>
    <n v="1"/>
    <m/>
  </r>
  <r>
    <x v="18"/>
    <x v="30"/>
    <s v="Total"/>
    <n v="5"/>
    <n v="4"/>
    <n v="1"/>
    <m/>
  </r>
  <r>
    <x v="18"/>
    <x v="31"/>
    <s v="Total"/>
    <n v="3"/>
    <n v="1"/>
    <n v="2"/>
    <m/>
  </r>
  <r>
    <x v="18"/>
    <x v="32"/>
    <s v="Total"/>
    <n v="7"/>
    <n v="5"/>
    <n v="2"/>
    <m/>
  </r>
  <r>
    <x v="18"/>
    <x v="33"/>
    <s v="Total"/>
    <n v="4"/>
    <n v="2"/>
    <n v="2"/>
    <m/>
  </r>
  <r>
    <x v="18"/>
    <x v="34"/>
    <s v="Total"/>
    <n v="5"/>
    <n v="4"/>
    <n v="1"/>
    <m/>
  </r>
  <r>
    <x v="19"/>
    <x v="0"/>
    <s v="Total"/>
    <n v="13"/>
    <n v="11"/>
    <n v="2"/>
    <m/>
  </r>
  <r>
    <x v="19"/>
    <x v="1"/>
    <s v="Total"/>
    <n v="16"/>
    <n v="11"/>
    <n v="5"/>
    <m/>
  </r>
  <r>
    <x v="19"/>
    <x v="2"/>
    <s v="Total"/>
    <n v="1"/>
    <n v="1"/>
    <m/>
    <m/>
  </r>
  <r>
    <x v="19"/>
    <x v="3"/>
    <s v="Total"/>
    <n v="5"/>
    <n v="3"/>
    <n v="2"/>
    <m/>
  </r>
  <r>
    <x v="19"/>
    <x v="4"/>
    <s v="Total"/>
    <n v="3"/>
    <n v="3"/>
    <m/>
    <m/>
  </r>
  <r>
    <x v="19"/>
    <x v="5"/>
    <s v="Total"/>
    <n v="4"/>
    <n v="3"/>
    <n v="1"/>
    <m/>
  </r>
  <r>
    <x v="19"/>
    <x v="6"/>
    <s v="Total"/>
    <n v="3"/>
    <n v="3"/>
    <m/>
    <m/>
  </r>
  <r>
    <x v="19"/>
    <x v="7"/>
    <s v="Total"/>
    <n v="9"/>
    <n v="6"/>
    <n v="3"/>
    <m/>
  </r>
  <r>
    <x v="19"/>
    <x v="8"/>
    <s v="Total"/>
    <n v="5"/>
    <n v="4"/>
    <n v="1"/>
    <m/>
  </r>
  <r>
    <x v="19"/>
    <x v="9"/>
    <s v="Total"/>
    <n v="5"/>
    <n v="4"/>
    <n v="1"/>
    <m/>
  </r>
  <r>
    <x v="19"/>
    <x v="11"/>
    <s v="Total"/>
    <n v="1"/>
    <n v="1"/>
    <m/>
    <m/>
  </r>
  <r>
    <x v="19"/>
    <x v="12"/>
    <s v="Total"/>
    <n v="4"/>
    <n v="3"/>
    <n v="1"/>
    <m/>
  </r>
  <r>
    <x v="19"/>
    <x v="13"/>
    <s v="Total"/>
    <n v="1"/>
    <m/>
    <n v="1"/>
    <m/>
  </r>
  <r>
    <x v="19"/>
    <x v="14"/>
    <s v="Total"/>
    <n v="2"/>
    <n v="1"/>
    <n v="1"/>
    <m/>
  </r>
  <r>
    <x v="19"/>
    <x v="15"/>
    <s v="Total"/>
    <n v="2"/>
    <n v="2"/>
    <m/>
    <m/>
  </r>
  <r>
    <x v="19"/>
    <x v="16"/>
    <s v="Total"/>
    <n v="3"/>
    <n v="3"/>
    <m/>
    <m/>
  </r>
  <r>
    <x v="19"/>
    <x v="17"/>
    <s v="Total"/>
    <n v="3"/>
    <n v="2"/>
    <n v="1"/>
    <m/>
  </r>
  <r>
    <x v="19"/>
    <x v="18"/>
    <s v="Total"/>
    <n v="2"/>
    <n v="1"/>
    <n v="1"/>
    <m/>
  </r>
  <r>
    <x v="19"/>
    <x v="19"/>
    <s v="Total"/>
    <n v="6"/>
    <n v="4"/>
    <n v="2"/>
    <m/>
  </r>
  <r>
    <x v="19"/>
    <x v="20"/>
    <s v="Total"/>
    <n v="3"/>
    <n v="3"/>
    <m/>
    <m/>
  </r>
  <r>
    <x v="19"/>
    <x v="21"/>
    <s v="Total"/>
    <n v="5"/>
    <n v="3"/>
    <n v="2"/>
    <m/>
  </r>
  <r>
    <x v="19"/>
    <x v="22"/>
    <s v="Total"/>
    <n v="2"/>
    <n v="2"/>
    <m/>
    <m/>
  </r>
  <r>
    <x v="19"/>
    <x v="23"/>
    <s v="Total"/>
    <n v="4"/>
    <n v="3"/>
    <n v="1"/>
    <m/>
  </r>
  <r>
    <x v="19"/>
    <x v="24"/>
    <s v="Total"/>
    <n v="3"/>
    <n v="3"/>
    <m/>
    <m/>
  </r>
  <r>
    <x v="19"/>
    <x v="25"/>
    <s v="Total"/>
    <n v="4"/>
    <n v="3"/>
    <n v="1"/>
    <m/>
  </r>
  <r>
    <x v="19"/>
    <x v="26"/>
    <s v="Total"/>
    <n v="2"/>
    <n v="2"/>
    <m/>
    <m/>
  </r>
  <r>
    <x v="19"/>
    <x v="27"/>
    <s v="Total"/>
    <n v="3"/>
    <n v="2"/>
    <n v="1"/>
    <m/>
  </r>
  <r>
    <x v="19"/>
    <x v="28"/>
    <s v="Total"/>
    <n v="3"/>
    <n v="3"/>
    <m/>
    <m/>
  </r>
  <r>
    <x v="19"/>
    <x v="29"/>
    <s v="Total"/>
    <n v="4"/>
    <n v="3"/>
    <n v="1"/>
    <m/>
  </r>
  <r>
    <x v="19"/>
    <x v="31"/>
    <s v="Total"/>
    <n v="1"/>
    <n v="1"/>
    <m/>
    <m/>
  </r>
  <r>
    <x v="19"/>
    <x v="32"/>
    <s v="Total"/>
    <n v="3"/>
    <n v="3"/>
    <m/>
    <m/>
  </r>
  <r>
    <x v="19"/>
    <x v="33"/>
    <s v="Total"/>
    <n v="4"/>
    <n v="4"/>
    <m/>
    <m/>
  </r>
  <r>
    <x v="19"/>
    <x v="34"/>
    <s v="Total"/>
    <n v="2"/>
    <n v="1"/>
    <n v="1"/>
    <m/>
  </r>
  <r>
    <x v="20"/>
    <x v="0"/>
    <s v="Total"/>
    <n v="13"/>
    <n v="11"/>
    <n v="2"/>
    <m/>
  </r>
  <r>
    <x v="20"/>
    <x v="1"/>
    <s v="Total"/>
    <n v="9"/>
    <n v="9"/>
    <m/>
    <m/>
  </r>
  <r>
    <x v="20"/>
    <x v="2"/>
    <s v="Total"/>
    <n v="15"/>
    <n v="13"/>
    <n v="1"/>
    <n v="1"/>
  </r>
  <r>
    <x v="20"/>
    <x v="3"/>
    <s v="Total"/>
    <n v="7"/>
    <n v="7"/>
    <m/>
    <m/>
  </r>
  <r>
    <x v="20"/>
    <x v="4"/>
    <s v="Total"/>
    <n v="17"/>
    <n v="15"/>
    <n v="2"/>
    <m/>
  </r>
  <r>
    <x v="20"/>
    <x v="5"/>
    <s v="Total"/>
    <n v="19"/>
    <n v="15"/>
    <n v="2"/>
    <n v="2"/>
  </r>
  <r>
    <x v="20"/>
    <x v="6"/>
    <s v="Total"/>
    <n v="8"/>
    <n v="7"/>
    <n v="1"/>
    <m/>
  </r>
  <r>
    <x v="20"/>
    <x v="7"/>
    <s v="Total"/>
    <n v="10"/>
    <n v="9"/>
    <n v="1"/>
    <m/>
  </r>
  <r>
    <x v="20"/>
    <x v="8"/>
    <s v="Total"/>
    <n v="7"/>
    <n v="6"/>
    <n v="1"/>
    <m/>
  </r>
  <r>
    <x v="20"/>
    <x v="9"/>
    <s v="Total"/>
    <n v="7"/>
    <n v="7"/>
    <m/>
    <m/>
  </r>
  <r>
    <x v="20"/>
    <x v="10"/>
    <s v="Total"/>
    <n v="7"/>
    <n v="6"/>
    <n v="1"/>
    <m/>
  </r>
  <r>
    <x v="20"/>
    <x v="11"/>
    <s v="Total"/>
    <n v="6"/>
    <n v="5"/>
    <n v="1"/>
    <m/>
  </r>
  <r>
    <x v="20"/>
    <x v="12"/>
    <s v="Total"/>
    <n v="12"/>
    <n v="10"/>
    <n v="1"/>
    <n v="1"/>
  </r>
  <r>
    <x v="20"/>
    <x v="13"/>
    <s v="Total"/>
    <n v="7"/>
    <n v="6"/>
    <n v="1"/>
    <m/>
  </r>
  <r>
    <x v="20"/>
    <x v="14"/>
    <s v="Total"/>
    <n v="4"/>
    <n v="3"/>
    <n v="1"/>
    <m/>
  </r>
  <r>
    <x v="20"/>
    <x v="15"/>
    <s v="Total"/>
    <n v="8"/>
    <n v="7"/>
    <n v="1"/>
    <m/>
  </r>
  <r>
    <x v="20"/>
    <x v="16"/>
    <s v="Total"/>
    <n v="12"/>
    <n v="10"/>
    <n v="2"/>
    <m/>
  </r>
  <r>
    <x v="20"/>
    <x v="17"/>
    <s v="Total"/>
    <n v="6"/>
    <n v="5"/>
    <n v="1"/>
    <m/>
  </r>
  <r>
    <x v="20"/>
    <x v="18"/>
    <s v="Total"/>
    <n v="2"/>
    <n v="1"/>
    <n v="1"/>
    <m/>
  </r>
  <r>
    <x v="20"/>
    <x v="19"/>
    <s v="Total"/>
    <n v="22"/>
    <n v="18"/>
    <n v="3"/>
    <n v="1"/>
  </r>
  <r>
    <x v="20"/>
    <x v="20"/>
    <s v="Total"/>
    <n v="8"/>
    <n v="8"/>
    <m/>
    <m/>
  </r>
  <r>
    <x v="20"/>
    <x v="21"/>
    <s v="Total"/>
    <n v="70"/>
    <n v="55"/>
    <n v="10"/>
    <n v="5"/>
  </r>
  <r>
    <x v="20"/>
    <x v="22"/>
    <s v="Total"/>
    <n v="134"/>
    <n v="103"/>
    <n v="18"/>
    <n v="13"/>
  </r>
  <r>
    <x v="20"/>
    <x v="23"/>
    <s v="Total"/>
    <n v="48"/>
    <n v="41"/>
    <n v="3"/>
    <n v="4"/>
  </r>
  <r>
    <x v="20"/>
    <x v="24"/>
    <s v="Total"/>
    <n v="64"/>
    <n v="54"/>
    <n v="6"/>
    <n v="4"/>
  </r>
  <r>
    <x v="20"/>
    <x v="25"/>
    <s v="Total"/>
    <n v="63"/>
    <n v="55"/>
    <n v="6"/>
    <n v="2"/>
  </r>
  <r>
    <x v="20"/>
    <x v="26"/>
    <s v="Total"/>
    <n v="61"/>
    <n v="50"/>
    <n v="8"/>
    <n v="3"/>
  </r>
  <r>
    <x v="20"/>
    <x v="27"/>
    <s v="Total"/>
    <n v="3"/>
    <n v="3"/>
    <m/>
    <m/>
  </r>
  <r>
    <x v="20"/>
    <x v="28"/>
    <s v="Total"/>
    <n v="2"/>
    <n v="2"/>
    <m/>
    <m/>
  </r>
  <r>
    <x v="20"/>
    <x v="29"/>
    <s v="Total"/>
    <n v="1"/>
    <n v="1"/>
    <m/>
    <m/>
  </r>
  <r>
    <x v="20"/>
    <x v="33"/>
    <s v="Total"/>
    <n v="1"/>
    <m/>
    <m/>
    <n v="1"/>
  </r>
  <r>
    <x v="20"/>
    <x v="34"/>
    <s v="Total"/>
    <n v="1"/>
    <n v="1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6106FE-43DB-47C5-88B8-84A9C4B46BDE}" name="TablaDinámica2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E25" firstHeaderRow="0" firstDataRow="1" firstDataCol="1" rowPageCount="1" colPageCount="1"/>
  <pivotFields count="7">
    <pivotField axis="axisRow" showAll="0">
      <items count="22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0"/>
        <item t="default"/>
      </items>
    </pivotField>
    <pivotField axis="axisPage" numFmtId="164" multipleItemSelectionAllowed="1" showAll="0">
      <items count="36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x="29"/>
        <item h="1" x="30"/>
        <item h="1" x="31"/>
        <item h="1" x="32"/>
        <item h="1" x="33"/>
        <item h="1" x="34"/>
        <item t="default"/>
      </items>
    </pivotField>
    <pivotField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1" hier="-1"/>
  </pageFields>
  <dataFields count="4">
    <dataField name="Suma de Hombre" fld="4" baseField="0" baseItem="0"/>
    <dataField name="Suma de Mujer" fld="5" baseField="0" baseItem="0"/>
    <dataField name="Suma de Sexo_No_Especificado" fld="6" baseField="0" baseItem="0"/>
    <dataField name="Suma de Total_Muerte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8D3C5-7271-4037-A2D5-82993EF93577}">
  <sheetPr>
    <tabColor rgb="FF00B050"/>
    <outlinePr summaryBelow="0" summaryRight="0"/>
  </sheetPr>
  <dimension ref="B2:AB46"/>
  <sheetViews>
    <sheetView showGridLines="0" tabSelected="1" topLeftCell="T26" zoomScale="102" zoomScaleNormal="60" workbookViewId="0">
      <selection activeCell="G23" sqref="G23"/>
    </sheetView>
  </sheetViews>
  <sheetFormatPr baseColWidth="10" defaultColWidth="14.5546875" defaultRowHeight="15" customHeight="1" x14ac:dyDescent="0.3"/>
  <cols>
    <col min="1" max="1" width="6.88671875" style="12" customWidth="1"/>
    <col min="2" max="20" width="14.5546875" style="12"/>
    <col min="21" max="21" width="3.33203125" style="12" customWidth="1"/>
    <col min="22" max="23" width="16.5546875" style="12" hidden="1" customWidth="1"/>
    <col min="24" max="16384" width="14.5546875" style="12"/>
  </cols>
  <sheetData>
    <row r="2" spans="2:23" ht="15" customHeight="1" x14ac:dyDescent="0.3">
      <c r="B2" s="66" t="s">
        <v>39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</row>
    <row r="3" spans="2:23" ht="33" customHeight="1" x14ac:dyDescent="0.3">
      <c r="B3" s="13" t="s">
        <v>40</v>
      </c>
      <c r="C3" s="14" t="s">
        <v>29</v>
      </c>
      <c r="D3" s="14" t="s">
        <v>41</v>
      </c>
      <c r="E3" s="14" t="s">
        <v>42</v>
      </c>
      <c r="F3" s="14"/>
      <c r="G3" s="15"/>
      <c r="H3" s="15"/>
      <c r="I3" s="15" t="s">
        <v>43</v>
      </c>
      <c r="J3" s="15"/>
      <c r="K3" s="16" t="s">
        <v>44</v>
      </c>
      <c r="L3" s="15"/>
      <c r="M3" s="15" t="s">
        <v>45</v>
      </c>
      <c r="N3" s="15"/>
      <c r="O3" s="15" t="s">
        <v>46</v>
      </c>
      <c r="P3" s="15"/>
      <c r="Q3" s="15" t="s">
        <v>47</v>
      </c>
      <c r="R3" s="15" t="s">
        <v>48</v>
      </c>
      <c r="S3" s="16" t="s">
        <v>49</v>
      </c>
      <c r="T3" s="17" t="s">
        <v>50</v>
      </c>
    </row>
    <row r="4" spans="2:23" ht="15" customHeight="1" x14ac:dyDescent="0.3">
      <c r="B4" s="18">
        <v>0</v>
      </c>
      <c r="C4" s="19">
        <v>1</v>
      </c>
      <c r="D4" s="20">
        <f>'Defunciones generales'!C3</f>
        <v>731</v>
      </c>
      <c r="E4" s="20">
        <f>Homicidios!E2</f>
        <v>2.0015360983102917</v>
      </c>
      <c r="F4" s="21">
        <f>(D4-E4)/D4</f>
        <v>0.99726192052214724</v>
      </c>
      <c r="G4" s="22">
        <f>'LT Ver'!G2</f>
        <v>100000</v>
      </c>
      <c r="H4" s="23">
        <f>1-'LT Ver'!E2</f>
        <v>0.98701259836639244</v>
      </c>
      <c r="I4" s="24">
        <f t="shared" ref="I4:I22" si="0">1-H4</f>
        <v>1.2987401633607565E-2</v>
      </c>
      <c r="J4" s="25">
        <f>'LT Ver'!D2</f>
        <v>8.0279592900940402E-2</v>
      </c>
      <c r="K4" s="57">
        <f>'LT Ver'!K2</f>
        <v>72.6280202304429</v>
      </c>
      <c r="L4" s="24">
        <f>H4^F4</f>
        <v>0.9870479276108326</v>
      </c>
      <c r="M4" s="26">
        <f t="shared" ref="M4:M22" si="1">1-L4</f>
        <v>1.2952072389167402E-2</v>
      </c>
      <c r="N4" s="27">
        <v>100000</v>
      </c>
      <c r="O4" s="28">
        <f t="shared" ref="O4:O22" si="2">N4*M4</f>
        <v>1295.2072389167402</v>
      </c>
      <c r="P4" s="28">
        <f>C4+(F4*(I4/M4)*(J4-C4))</f>
        <v>8.0296016936691528E-2</v>
      </c>
      <c r="Q4" s="27">
        <f t="shared" ref="Q4:Q20" si="3">(C4*N5)+(P4*O4)</f>
        <v>98808.792743475846</v>
      </c>
      <c r="R4" s="27">
        <f t="shared" ref="R4:R21" si="4">R5+Q4</f>
        <v>7431169.4974053362</v>
      </c>
      <c r="S4" s="29">
        <f t="shared" ref="S4:S22" si="5">R4/N4</f>
        <v>74.311694974053367</v>
      </c>
      <c r="T4" s="30">
        <f t="shared" ref="T4:T22" si="6">S4-K4</f>
        <v>1.6836747436104673</v>
      </c>
    </row>
    <row r="5" spans="2:23" ht="15" customHeight="1" x14ac:dyDescent="0.3">
      <c r="B5" s="18">
        <v>1</v>
      </c>
      <c r="C5" s="19">
        <v>4</v>
      </c>
      <c r="D5" s="20">
        <f>'Defunciones generales'!C4</f>
        <v>152</v>
      </c>
      <c r="E5" s="20">
        <f>Homicidios!E3</f>
        <v>4.0030721966205833</v>
      </c>
      <c r="F5" s="21">
        <f t="shared" ref="F5:F22" si="7">(D5-E5)/D5</f>
        <v>0.97366399870644349</v>
      </c>
      <c r="G5" s="22">
        <f>'LT Ver'!G3</f>
        <v>98701.259836639205</v>
      </c>
      <c r="H5" s="23">
        <f>1-'LT Ver'!E3</f>
        <v>0.99757261203712944</v>
      </c>
      <c r="I5" s="24">
        <f t="shared" si="0"/>
        <v>2.4273879628705641E-3</v>
      </c>
      <c r="J5" s="25">
        <f>'LT Ver'!D3</f>
        <v>2</v>
      </c>
      <c r="K5" s="58">
        <f>'LT Ver'!K3</f>
        <v>72.582624707457697</v>
      </c>
      <c r="L5" s="24">
        <f>H5^F5</f>
        <v>0.99763646412156581</v>
      </c>
      <c r="M5" s="26">
        <f t="shared" si="1"/>
        <v>2.3635358784341864E-3</v>
      </c>
      <c r="N5" s="27">
        <f t="shared" ref="N5:N22" si="8">N4*L4</f>
        <v>98704.792761083256</v>
      </c>
      <c r="O5" s="28">
        <f t="shared" si="2"/>
        <v>233.29231906423124</v>
      </c>
      <c r="P5" s="28">
        <f>C5+(F5*(I5/M5)*(J5-C5))</f>
        <v>2.0000639787992514</v>
      </c>
      <c r="Q5" s="27">
        <f t="shared" si="3"/>
        <v>394352.60133196699</v>
      </c>
      <c r="R5" s="27">
        <f t="shared" si="4"/>
        <v>7332360.7046618601</v>
      </c>
      <c r="S5" s="21">
        <f t="shared" si="5"/>
        <v>74.285761608455758</v>
      </c>
      <c r="T5" s="30">
        <f t="shared" si="6"/>
        <v>1.7031369009980608</v>
      </c>
      <c r="V5" s="59" t="s">
        <v>51</v>
      </c>
      <c r="W5" s="60"/>
    </row>
    <row r="6" spans="2:23" ht="15" customHeight="1" x14ac:dyDescent="0.3">
      <c r="B6" s="18">
        <v>5</v>
      </c>
      <c r="C6" s="19">
        <v>5</v>
      </c>
      <c r="D6" s="20">
        <f>'Defunciones generales'!C5</f>
        <v>122</v>
      </c>
      <c r="E6" s="20">
        <f>Homicidios!E4</f>
        <v>1.0007680491551458</v>
      </c>
      <c r="F6" s="21">
        <f>(D6-E6)/D6</f>
        <v>0.9917969832036464</v>
      </c>
      <c r="G6" s="22">
        <f>'LT Ver'!G4</f>
        <v>98461.673586591598</v>
      </c>
      <c r="H6" s="23">
        <f>1-'LT Ver'!E4</f>
        <v>0.99846369241382904</v>
      </c>
      <c r="I6" s="24">
        <f t="shared" si="0"/>
        <v>1.5363075861709596E-3</v>
      </c>
      <c r="J6" s="25">
        <f>'LT Ver'!D4</f>
        <v>2.5</v>
      </c>
      <c r="K6" s="58">
        <f>'LT Ver'!K4</f>
        <v>68.754373020848902</v>
      </c>
      <c r="L6" s="24">
        <f t="shared" ref="L6:L22" si="9">H6^F6</f>
        <v>0.99847628516466325</v>
      </c>
      <c r="M6" s="26">
        <f t="shared" si="1"/>
        <v>1.5237148353367536E-3</v>
      </c>
      <c r="N6" s="27">
        <f t="shared" si="8"/>
        <v>98471.500442019023</v>
      </c>
      <c r="O6" s="28">
        <f t="shared" si="2"/>
        <v>150.04248608137408</v>
      </c>
      <c r="P6" s="28">
        <f>C6+(F6*(I6/M6)*(J6-C6))</f>
        <v>2.5000157609864013</v>
      </c>
      <c r="Q6" s="27">
        <f t="shared" si="3"/>
        <v>491982.39835970924</v>
      </c>
      <c r="R6" s="27">
        <f t="shared" si="4"/>
        <v>6938008.1033298932</v>
      </c>
      <c r="S6" s="21">
        <f t="shared" si="5"/>
        <v>70.457016214707323</v>
      </c>
      <c r="T6" s="30">
        <f t="shared" si="6"/>
        <v>1.702643193858421</v>
      </c>
      <c r="V6" s="61"/>
      <c r="W6" s="62"/>
    </row>
    <row r="7" spans="2:23" ht="15" customHeight="1" x14ac:dyDescent="0.3">
      <c r="B7" s="18">
        <v>10</v>
      </c>
      <c r="C7" s="19">
        <v>5</v>
      </c>
      <c r="D7" s="20">
        <f>'Defunciones generales'!C6</f>
        <v>356</v>
      </c>
      <c r="E7" s="20">
        <f>Homicidios!E5</f>
        <v>8.0061443932411667</v>
      </c>
      <c r="F7" s="21">
        <f t="shared" si="7"/>
        <v>0.97751083035606412</v>
      </c>
      <c r="G7" s="22">
        <f>'LT Ver'!G5</f>
        <v>98310.406170513495</v>
      </c>
      <c r="H7" s="23">
        <f>1-'LT Ver'!E5</f>
        <v>0.99825961917043748</v>
      </c>
      <c r="I7" s="24">
        <f t="shared" si="0"/>
        <v>1.7403808295625156E-3</v>
      </c>
      <c r="J7" s="25">
        <f>'LT Ver'!D5</f>
        <v>2.5</v>
      </c>
      <c r="K7" s="58">
        <f>'LT Ver'!K5</f>
        <v>63.8563167336372</v>
      </c>
      <c r="L7" s="24">
        <f t="shared" si="9"/>
        <v>0.99829872557734256</v>
      </c>
      <c r="M7" s="26">
        <f t="shared" si="1"/>
        <v>1.7012744226574394E-3</v>
      </c>
      <c r="N7" s="27">
        <f t="shared" si="8"/>
        <v>98321.457955937643</v>
      </c>
      <c r="O7" s="28">
        <f t="shared" si="2"/>
        <v>167.27178161882551</v>
      </c>
      <c r="P7" s="24">
        <f t="shared" ref="P7:P20" si="10">(((-5/24)*O6)+((2.5)*O7)+((5/24)*O8))/O7</f>
        <v>2.8700036415423051</v>
      </c>
      <c r="Q7" s="27">
        <f t="shared" si="3"/>
        <v>491251.00149396743</v>
      </c>
      <c r="R7" s="27">
        <f t="shared" si="4"/>
        <v>6446025.7049701838</v>
      </c>
      <c r="S7" s="21">
        <f t="shared" si="5"/>
        <v>65.560721321473324</v>
      </c>
      <c r="T7" s="30">
        <f t="shared" si="6"/>
        <v>1.7044045878361231</v>
      </c>
      <c r="V7" s="63"/>
      <c r="W7" s="64"/>
    </row>
    <row r="8" spans="2:23" ht="15" customHeight="1" x14ac:dyDescent="0.3">
      <c r="B8" s="18">
        <v>15</v>
      </c>
      <c r="C8" s="19">
        <v>5</v>
      </c>
      <c r="D8" s="20">
        <f>'Defunciones generales'!C7</f>
        <v>640</v>
      </c>
      <c r="E8" s="20">
        <f>Homicidios!E6</f>
        <v>70.053763440860209</v>
      </c>
      <c r="F8" s="21">
        <f t="shared" si="7"/>
        <v>0.89054099462365599</v>
      </c>
      <c r="G8" s="22">
        <f>'LT Ver'!G6</f>
        <v>98139.308624267796</v>
      </c>
      <c r="H8" s="23">
        <f>1-'LT Ver'!E6</f>
        <v>0.99488624774118672</v>
      </c>
      <c r="I8" s="24">
        <f t="shared" si="0"/>
        <v>5.1137522588132756E-3</v>
      </c>
      <c r="J8" s="25">
        <f>'LT Ver'!D6</f>
        <v>2.5</v>
      </c>
      <c r="K8" s="58">
        <f>'LT Ver'!K6</f>
        <v>58.963286258763901</v>
      </c>
      <c r="L8" s="24">
        <f t="shared" si="9"/>
        <v>0.99544471701641712</v>
      </c>
      <c r="M8" s="26">
        <f t="shared" si="1"/>
        <v>4.5552829835828756E-3</v>
      </c>
      <c r="N8" s="27">
        <f t="shared" si="8"/>
        <v>98154.18617431882</v>
      </c>
      <c r="O8" s="28">
        <f t="shared" si="2"/>
        <v>447.12009404730009</v>
      </c>
      <c r="P8" s="24">
        <f t="shared" si="10"/>
        <v>2.8036826873579703</v>
      </c>
      <c r="Q8" s="27">
        <f t="shared" si="3"/>
        <v>489788.91326820786</v>
      </c>
      <c r="R8" s="27">
        <f t="shared" si="4"/>
        <v>5954774.7034762166</v>
      </c>
      <c r="S8" s="21">
        <f t="shared" si="5"/>
        <v>60.667557193136112</v>
      </c>
      <c r="T8" s="30">
        <f t="shared" si="6"/>
        <v>1.7042709343722109</v>
      </c>
      <c r="V8" s="31" t="s">
        <v>52</v>
      </c>
      <c r="W8" s="31" t="s">
        <v>53</v>
      </c>
    </row>
    <row r="9" spans="2:23" ht="15" customHeight="1" x14ac:dyDescent="0.3">
      <c r="B9" s="18">
        <v>20</v>
      </c>
      <c r="C9" s="19">
        <v>5</v>
      </c>
      <c r="D9" s="20">
        <f>'Defunciones generales'!C8</f>
        <v>833</v>
      </c>
      <c r="E9" s="20">
        <f>Homicidios!E7</f>
        <v>189.14516129032259</v>
      </c>
      <c r="F9" s="21">
        <f t="shared" si="7"/>
        <v>0.77293498044379039</v>
      </c>
      <c r="G9" s="22">
        <f>'LT Ver'!G7</f>
        <v>97637.448513112104</v>
      </c>
      <c r="H9" s="23">
        <f>1-'LT Ver'!E7</f>
        <v>0.98916836757144655</v>
      </c>
      <c r="I9" s="24">
        <f t="shared" si="0"/>
        <v>1.083163242855345E-2</v>
      </c>
      <c r="J9" s="25">
        <f>'LT Ver'!D7</f>
        <v>2.5</v>
      </c>
      <c r="K9" s="58">
        <f>'LT Ver'!K7</f>
        <v>54.253509646916299</v>
      </c>
      <c r="L9" s="24">
        <f t="shared" si="9"/>
        <v>0.99161751092536432</v>
      </c>
      <c r="M9" s="26">
        <f t="shared" si="1"/>
        <v>8.3824890746356795E-3</v>
      </c>
      <c r="N9" s="27">
        <f t="shared" si="8"/>
        <v>97707.066080271514</v>
      </c>
      <c r="O9" s="28">
        <f t="shared" si="2"/>
        <v>819.02841393258234</v>
      </c>
      <c r="P9" s="24">
        <f t="shared" si="10"/>
        <v>2.6624213537632744</v>
      </c>
      <c r="Q9" s="27">
        <f t="shared" si="3"/>
        <v>486620.78707028768</v>
      </c>
      <c r="R9" s="27">
        <f t="shared" si="4"/>
        <v>5464985.7902080091</v>
      </c>
      <c r="S9" s="21">
        <f t="shared" si="5"/>
        <v>55.932349720932514</v>
      </c>
      <c r="T9" s="30">
        <f t="shared" si="6"/>
        <v>1.6788400740162146</v>
      </c>
      <c r="V9" s="32">
        <f>([1]TV!M53-[1]TV!M71)/[1]TV!J53</f>
        <v>66.401396448949356</v>
      </c>
      <c r="W9" s="32">
        <f>(R4-R22)/N4</f>
        <v>72.082844577700726</v>
      </c>
    </row>
    <row r="10" spans="2:23" ht="15" customHeight="1" x14ac:dyDescent="0.3">
      <c r="B10" s="18">
        <v>25</v>
      </c>
      <c r="C10" s="19">
        <v>5</v>
      </c>
      <c r="D10" s="20">
        <f>'Defunciones generales'!C9</f>
        <v>834</v>
      </c>
      <c r="E10" s="20">
        <f>Homicidios!E8</f>
        <v>220.16897081413211</v>
      </c>
      <c r="F10" s="21">
        <f t="shared" si="7"/>
        <v>0.73600842828041713</v>
      </c>
      <c r="G10" s="22">
        <f>'LT Ver'!G8</f>
        <v>96579.875559556196</v>
      </c>
      <c r="H10" s="23">
        <f>1-'LT Ver'!E8</f>
        <v>0.9848063401154572</v>
      </c>
      <c r="I10" s="24">
        <f t="shared" si="0"/>
        <v>1.5193659884542798E-2</v>
      </c>
      <c r="J10" s="25">
        <f>'LT Ver'!D8</f>
        <v>2.5</v>
      </c>
      <c r="K10" s="58">
        <f>'LT Ver'!K8</f>
        <v>49.820223071810098</v>
      </c>
      <c r="L10" s="24">
        <f t="shared" si="9"/>
        <v>0.98879476663732901</v>
      </c>
      <c r="M10" s="26">
        <f t="shared" si="1"/>
        <v>1.1205233362670985E-2</v>
      </c>
      <c r="N10" s="27">
        <f t="shared" si="8"/>
        <v>96888.037666338932</v>
      </c>
      <c r="O10" s="28">
        <f t="shared" si="2"/>
        <v>1085.653072102584</v>
      </c>
      <c r="P10" s="24">
        <f t="shared" si="10"/>
        <v>2.5720389386391656</v>
      </c>
      <c r="Q10" s="27">
        <f t="shared" si="3"/>
        <v>481804.2649464829</v>
      </c>
      <c r="R10" s="27">
        <f t="shared" si="4"/>
        <v>4978365.0031377217</v>
      </c>
      <c r="S10" s="21">
        <f t="shared" si="5"/>
        <v>51.382659026309469</v>
      </c>
      <c r="T10" s="30">
        <f t="shared" si="6"/>
        <v>1.5624359544993709</v>
      </c>
      <c r="V10" s="33" t="s">
        <v>54</v>
      </c>
      <c r="W10" s="32">
        <f>W9-V9</f>
        <v>5.6814481287513701</v>
      </c>
    </row>
    <row r="11" spans="2:23" ht="15" customHeight="1" x14ac:dyDescent="0.3">
      <c r="B11" s="18">
        <v>30</v>
      </c>
      <c r="C11" s="19">
        <v>5</v>
      </c>
      <c r="D11" s="20">
        <f>'Defunciones generales'!C10</f>
        <v>924</v>
      </c>
      <c r="E11" s="20">
        <f>Homicidios!E9</f>
        <v>194.1490015360983</v>
      </c>
      <c r="F11" s="21">
        <f t="shared" si="7"/>
        <v>0.7898820329695907</v>
      </c>
      <c r="G11" s="22">
        <f>'LT Ver'!G9</f>
        <v>95112.473778612897</v>
      </c>
      <c r="H11" s="23">
        <f>1-'LT Ver'!E9</f>
        <v>0.98424203032181024</v>
      </c>
      <c r="I11" s="24">
        <f t="shared" si="0"/>
        <v>1.5757969678189765E-2</v>
      </c>
      <c r="J11" s="25">
        <f>'LT Ver'!D9</f>
        <v>2.5</v>
      </c>
      <c r="K11" s="58">
        <f>'LT Ver'!K9</f>
        <v>45.550282724888199</v>
      </c>
      <c r="L11" s="24">
        <f t="shared" si="9"/>
        <v>0.98753232463674379</v>
      </c>
      <c r="M11" s="26">
        <f t="shared" si="1"/>
        <v>1.2467675363256214E-2</v>
      </c>
      <c r="N11" s="27">
        <f t="shared" si="8"/>
        <v>95802.384594236355</v>
      </c>
      <c r="O11" s="28">
        <f t="shared" si="2"/>
        <v>1194.4330301467573</v>
      </c>
      <c r="P11" s="24">
        <f t="shared" si="10"/>
        <v>2.5609823779263827</v>
      </c>
      <c r="Q11" s="27">
        <f t="shared" si="3"/>
        <v>476098.6797622671</v>
      </c>
      <c r="R11" s="27">
        <f t="shared" si="4"/>
        <v>4496560.7381912386</v>
      </c>
      <c r="S11" s="21">
        <f t="shared" si="5"/>
        <v>46.935791392208827</v>
      </c>
      <c r="T11" s="30">
        <f t="shared" si="6"/>
        <v>1.3855086673206287</v>
      </c>
    </row>
    <row r="12" spans="2:23" ht="15" customHeight="1" x14ac:dyDescent="0.3">
      <c r="B12" s="18">
        <v>35</v>
      </c>
      <c r="C12" s="19">
        <v>5</v>
      </c>
      <c r="D12" s="20">
        <f>'Defunciones generales'!C11</f>
        <v>1077</v>
      </c>
      <c r="E12" s="20">
        <f>Homicidios!E10</f>
        <v>156.11981566820276</v>
      </c>
      <c r="F12" s="21">
        <f t="shared" si="7"/>
        <v>0.85504195388282001</v>
      </c>
      <c r="G12" s="22">
        <f>'LT Ver'!G10</f>
        <v>93613.694300791802</v>
      </c>
      <c r="H12" s="23">
        <f>1-'LT Ver'!E10</f>
        <v>0.98228011230266488</v>
      </c>
      <c r="I12" s="24">
        <f t="shared" si="0"/>
        <v>1.7719887697335124E-2</v>
      </c>
      <c r="J12" s="25">
        <f>'LT Ver'!D10</f>
        <v>2.5</v>
      </c>
      <c r="K12" s="58">
        <f>'LT Ver'!K10</f>
        <v>41.239528894953203</v>
      </c>
      <c r="L12" s="24">
        <f t="shared" si="9"/>
        <v>0.98482916068528681</v>
      </c>
      <c r="M12" s="26">
        <f t="shared" si="1"/>
        <v>1.5170839314713191E-2</v>
      </c>
      <c r="N12" s="27">
        <f t="shared" si="8"/>
        <v>94607.951564089599</v>
      </c>
      <c r="O12" s="28">
        <f t="shared" si="2"/>
        <v>1435.2820310729719</v>
      </c>
      <c r="P12" s="24">
        <f t="shared" si="10"/>
        <v>2.5937103037160294</v>
      </c>
      <c r="Q12" s="27">
        <f t="shared" si="3"/>
        <v>469586.05345781555</v>
      </c>
      <c r="R12" s="27">
        <f t="shared" si="4"/>
        <v>4020462.0584289711</v>
      </c>
      <c r="S12" s="21">
        <f t="shared" si="5"/>
        <v>42.496026940245265</v>
      </c>
      <c r="T12" s="30">
        <f t="shared" si="6"/>
        <v>1.2564980452920622</v>
      </c>
    </row>
    <row r="13" spans="2:23" ht="15" customHeight="1" x14ac:dyDescent="0.3">
      <c r="B13" s="18">
        <v>40</v>
      </c>
      <c r="C13" s="19">
        <v>5</v>
      </c>
      <c r="D13" s="20">
        <f>'Defunciones generales'!C12</f>
        <v>1421</v>
      </c>
      <c r="E13" s="20">
        <f>Homicidios!E11</f>
        <v>125.09600614439324</v>
      </c>
      <c r="F13" s="21">
        <f t="shared" si="7"/>
        <v>0.91196621664715471</v>
      </c>
      <c r="G13" s="22">
        <f>'LT Ver'!G11</f>
        <v>91954.870150849194</v>
      </c>
      <c r="H13" s="23">
        <f>1-'LT Ver'!E11</f>
        <v>0.97836571779816439</v>
      </c>
      <c r="I13" s="24">
        <f t="shared" si="0"/>
        <v>2.1634282201835608E-2</v>
      </c>
      <c r="J13" s="25">
        <f>'LT Ver'!D11</f>
        <v>2.5</v>
      </c>
      <c r="K13" s="58">
        <f>'LT Ver'!K11</f>
        <v>36.9383724252951</v>
      </c>
      <c r="L13" s="24">
        <f t="shared" si="9"/>
        <v>0.98025132829606476</v>
      </c>
      <c r="M13" s="26">
        <f t="shared" si="1"/>
        <v>1.9748671703935239E-2</v>
      </c>
      <c r="N13" s="27">
        <f t="shared" si="8"/>
        <v>93172.669533016626</v>
      </c>
      <c r="O13" s="28">
        <f t="shared" si="2"/>
        <v>1840.0364623867943</v>
      </c>
      <c r="P13" s="24">
        <f t="shared" si="10"/>
        <v>2.3079979953198961</v>
      </c>
      <c r="Q13" s="27">
        <f t="shared" si="3"/>
        <v>460909.96581965341</v>
      </c>
      <c r="R13" s="27">
        <f t="shared" si="4"/>
        <v>3550876.0049711554</v>
      </c>
      <c r="S13" s="21">
        <f t="shared" si="5"/>
        <v>38.110703737139019</v>
      </c>
      <c r="T13" s="30">
        <f t="shared" si="6"/>
        <v>1.1723313118439194</v>
      </c>
    </row>
    <row r="14" spans="2:23" ht="15" customHeight="1" x14ac:dyDescent="0.3">
      <c r="B14" s="18">
        <v>45</v>
      </c>
      <c r="C14" s="19">
        <v>5</v>
      </c>
      <c r="D14" s="20">
        <f>'Defunciones generales'!C13</f>
        <v>106</v>
      </c>
      <c r="E14" s="20">
        <f>Homicidios!E12</f>
        <v>116.08909370199693</v>
      </c>
      <c r="F14" s="21">
        <f t="shared" si="7"/>
        <v>-9.5180129264121976E-2</v>
      </c>
      <c r="G14" s="22">
        <f>'LT Ver'!G12</f>
        <v>89965.492540172505</v>
      </c>
      <c r="H14" s="23">
        <f>1-'LT Ver'!E12</f>
        <v>0.97051799937342975</v>
      </c>
      <c r="I14" s="24">
        <f t="shared" si="0"/>
        <v>2.9482000626570248E-2</v>
      </c>
      <c r="J14" s="25">
        <f>'LT Ver'!D12</f>
        <v>2.5</v>
      </c>
      <c r="K14" s="58">
        <f>'LT Ver'!K12</f>
        <v>32.699896928931103</v>
      </c>
      <c r="L14" s="24">
        <f t="shared" si="9"/>
        <v>1.0028523570337315</v>
      </c>
      <c r="M14" s="26">
        <f t="shared" si="1"/>
        <v>-2.8523570337315451E-3</v>
      </c>
      <c r="N14" s="27">
        <f t="shared" si="8"/>
        <v>91332.633070629832</v>
      </c>
      <c r="O14" s="28">
        <f t="shared" si="2"/>
        <v>-260.51327834823331</v>
      </c>
      <c r="P14" s="24">
        <f t="shared" si="10"/>
        <v>1.1884943517862916</v>
      </c>
      <c r="Q14" s="27">
        <f t="shared" si="3"/>
        <v>457656.11318500811</v>
      </c>
      <c r="R14" s="27">
        <f t="shared" si="4"/>
        <v>3089966.0391515018</v>
      </c>
      <c r="S14" s="21">
        <f t="shared" si="5"/>
        <v>33.832004347908736</v>
      </c>
      <c r="T14" s="30">
        <f t="shared" si="6"/>
        <v>1.1321074189776326</v>
      </c>
    </row>
    <row r="15" spans="2:23" ht="15" customHeight="1" x14ac:dyDescent="0.3">
      <c r="B15" s="18">
        <v>50</v>
      </c>
      <c r="C15" s="19">
        <v>5</v>
      </c>
      <c r="D15" s="20">
        <f>'Defunciones generales'!C14</f>
        <v>1810</v>
      </c>
      <c r="E15" s="20">
        <f>Homicidios!E13</f>
        <v>79.060675883256522</v>
      </c>
      <c r="F15" s="21">
        <f t="shared" si="7"/>
        <v>0.95632006857278651</v>
      </c>
      <c r="G15" s="22">
        <f>'LT Ver'!G13</f>
        <v>87313.129832733495</v>
      </c>
      <c r="H15" s="23">
        <f>1-'LT Ver'!E13</f>
        <v>0.96030510243915279</v>
      </c>
      <c r="I15" s="24">
        <f t="shared" si="0"/>
        <v>3.9694897560847209E-2</v>
      </c>
      <c r="J15" s="25">
        <f>'LT Ver'!D13</f>
        <v>2.5</v>
      </c>
      <c r="K15" s="58">
        <f>'LT Ver'!K13</f>
        <v>28.617297101577002</v>
      </c>
      <c r="L15" s="24">
        <f t="shared" si="9"/>
        <v>0.96200559917581829</v>
      </c>
      <c r="M15" s="26">
        <f t="shared" si="1"/>
        <v>3.7994400824181707E-2</v>
      </c>
      <c r="N15" s="27">
        <f t="shared" si="8"/>
        <v>91593.146348978073</v>
      </c>
      <c r="O15" s="28">
        <f t="shared" si="2"/>
        <v>3480.0267151310081</v>
      </c>
      <c r="P15" s="24">
        <f t="shared" si="10"/>
        <v>2.8110530909375617</v>
      </c>
      <c r="Q15" s="27">
        <f t="shared" si="3"/>
        <v>450348.13802334957</v>
      </c>
      <c r="R15" s="27">
        <f t="shared" si="4"/>
        <v>2632309.9259664938</v>
      </c>
      <c r="S15" s="21">
        <f t="shared" si="5"/>
        <v>28.739158232834995</v>
      </c>
      <c r="T15" s="30">
        <f t="shared" si="6"/>
        <v>0.1218611312579938</v>
      </c>
    </row>
    <row r="16" spans="2:23" ht="15" customHeight="1" x14ac:dyDescent="0.3">
      <c r="B16" s="18">
        <v>55</v>
      </c>
      <c r="C16" s="19">
        <v>5</v>
      </c>
      <c r="D16" s="20">
        <f>'Defunciones generales'!C15</f>
        <v>2225</v>
      </c>
      <c r="E16" s="20">
        <f>Homicidios!E14</f>
        <v>51.039170506912441</v>
      </c>
      <c r="F16" s="21">
        <f t="shared" si="7"/>
        <v>0.97706104696318541</v>
      </c>
      <c r="G16" s="22">
        <f>'LT Ver'!G14</f>
        <v>83847.244088306106</v>
      </c>
      <c r="H16" s="23">
        <f>1-'LT Ver'!E14</f>
        <v>0.94271177974546005</v>
      </c>
      <c r="I16" s="24">
        <f t="shared" si="0"/>
        <v>5.7288220254539945E-2</v>
      </c>
      <c r="J16" s="25">
        <f>'LT Ver'!D14</f>
        <v>2.5</v>
      </c>
      <c r="K16" s="58">
        <f>'LT Ver'!K14</f>
        <v>24.6968742384474</v>
      </c>
      <c r="L16" s="24">
        <f t="shared" si="9"/>
        <v>0.94398839287115055</v>
      </c>
      <c r="M16" s="26">
        <f t="shared" si="1"/>
        <v>5.601160712884945E-2</v>
      </c>
      <c r="N16" s="27">
        <f t="shared" si="8"/>
        <v>88113.119633847062</v>
      </c>
      <c r="O16" s="28">
        <f t="shared" si="2"/>
        <v>4935.3574398283527</v>
      </c>
      <c r="P16" s="24">
        <f t="shared" si="10"/>
        <v>2.634830858546199</v>
      </c>
      <c r="Q16" s="27">
        <f t="shared" si="3"/>
        <v>428892.64305050886</v>
      </c>
      <c r="R16" s="27">
        <f t="shared" si="4"/>
        <v>2181961.7879431443</v>
      </c>
      <c r="S16" s="21">
        <f t="shared" si="5"/>
        <v>24.763188467395757</v>
      </c>
      <c r="T16" s="30">
        <f t="shared" si="6"/>
        <v>6.6314228948357368E-2</v>
      </c>
    </row>
    <row r="17" spans="2:28" ht="15" customHeight="1" x14ac:dyDescent="0.3">
      <c r="B17" s="18">
        <v>60</v>
      </c>
      <c r="C17" s="19">
        <v>5</v>
      </c>
      <c r="D17" s="20">
        <f>'Defunciones generales'!C16</f>
        <v>2691</v>
      </c>
      <c r="E17" s="20">
        <f>Homicidios!E15</f>
        <v>32.024577572964667</v>
      </c>
      <c r="F17" s="21">
        <f t="shared" si="7"/>
        <v>0.98809937659867542</v>
      </c>
      <c r="G17" s="22">
        <f>'LT Ver'!G15</f>
        <v>79043.784701239099</v>
      </c>
      <c r="H17" s="23">
        <f>1-'LT Ver'!E15</f>
        <v>0.91883454734651404</v>
      </c>
      <c r="I17" s="24">
        <f t="shared" si="0"/>
        <v>8.1165452653485959E-2</v>
      </c>
      <c r="J17" s="25">
        <f>'LT Ver'!D15</f>
        <v>2.5</v>
      </c>
      <c r="K17" s="58">
        <f>'LT Ver'!K15</f>
        <v>21.045769465658701</v>
      </c>
      <c r="L17" s="24">
        <f t="shared" si="9"/>
        <v>0.91976062775509249</v>
      </c>
      <c r="M17" s="26">
        <f t="shared" si="1"/>
        <v>8.0239372244907514E-2</v>
      </c>
      <c r="N17" s="27">
        <f t="shared" si="8"/>
        <v>83177.762194018709</v>
      </c>
      <c r="O17" s="28">
        <f t="shared" si="2"/>
        <v>6674.1314231842625</v>
      </c>
      <c r="P17" s="24">
        <f t="shared" si="10"/>
        <v>2.5948539306469347</v>
      </c>
      <c r="Q17" s="27">
        <f t="shared" si="3"/>
        <v>399836.55001127615</v>
      </c>
      <c r="R17" s="27">
        <f t="shared" si="4"/>
        <v>1753069.1448926353</v>
      </c>
      <c r="S17" s="21">
        <f t="shared" si="5"/>
        <v>21.076175875030909</v>
      </c>
      <c r="T17" s="30">
        <f t="shared" si="6"/>
        <v>3.0406409372208287E-2</v>
      </c>
    </row>
    <row r="18" spans="2:28" ht="15" customHeight="1" x14ac:dyDescent="0.3">
      <c r="B18" s="18">
        <v>65</v>
      </c>
      <c r="C18" s="19">
        <v>5</v>
      </c>
      <c r="D18" s="20">
        <f>'Defunciones generales'!C17</f>
        <v>2820</v>
      </c>
      <c r="E18" s="20">
        <f>Homicidios!E16</f>
        <v>24.018433179723502</v>
      </c>
      <c r="F18" s="21">
        <f t="shared" si="7"/>
        <v>0.99148282511357322</v>
      </c>
      <c r="G18" s="22">
        <f>'LT Ver'!G16</f>
        <v>72628.160136518301</v>
      </c>
      <c r="H18" s="23">
        <f>1-'LT Ver'!E16</f>
        <v>0.89492197397642104</v>
      </c>
      <c r="I18" s="24">
        <f t="shared" si="0"/>
        <v>0.10507802602357896</v>
      </c>
      <c r="J18" s="25">
        <f>'LT Ver'!D16</f>
        <v>2.5</v>
      </c>
      <c r="K18" s="58">
        <f>'LT Ver'!K16</f>
        <v>17.684014107019198</v>
      </c>
      <c r="L18" s="24">
        <f t="shared" si="9"/>
        <v>0.89576858202191489</v>
      </c>
      <c r="M18" s="26">
        <f t="shared" si="1"/>
        <v>0.10423141797808511</v>
      </c>
      <c r="N18" s="27">
        <f t="shared" si="8"/>
        <v>76503.630770834454</v>
      </c>
      <c r="O18" s="28">
        <f t="shared" si="2"/>
        <v>7974.0819157159394</v>
      </c>
      <c r="P18" s="24">
        <f t="shared" si="10"/>
        <v>2.5960507474961654</v>
      </c>
      <c r="Q18" s="27">
        <f t="shared" si="3"/>
        <v>363348.86559348257</v>
      </c>
      <c r="R18" s="27">
        <f t="shared" si="4"/>
        <v>1353232.594881359</v>
      </c>
      <c r="S18" s="21">
        <f t="shared" si="5"/>
        <v>17.688475452033749</v>
      </c>
      <c r="T18" s="30">
        <f t="shared" si="6"/>
        <v>4.461345014551199E-3</v>
      </c>
    </row>
    <row r="19" spans="2:28" ht="15" customHeight="1" x14ac:dyDescent="0.3">
      <c r="B19" s="18">
        <v>70</v>
      </c>
      <c r="C19" s="19">
        <v>5</v>
      </c>
      <c r="D19" s="20">
        <f>'Defunciones generales'!C18</f>
        <v>3079</v>
      </c>
      <c r="E19" s="20">
        <f>Homicidios!E17</f>
        <v>18.013824884792626</v>
      </c>
      <c r="F19" s="21">
        <f t="shared" si="7"/>
        <v>0.99414945602962246</v>
      </c>
      <c r="G19" s="22">
        <f>'LT Ver'!G17</f>
        <v>64996.536435648602</v>
      </c>
      <c r="H19" s="23">
        <f>1-'LT Ver'!E17</f>
        <v>0.848144841905908</v>
      </c>
      <c r="I19" s="24">
        <f t="shared" si="0"/>
        <v>0.151855158094092</v>
      </c>
      <c r="J19" s="25">
        <f>'LT Ver'!D17</f>
        <v>2.5</v>
      </c>
      <c r="K19" s="58">
        <f>'LT Ver'!K17</f>
        <v>14.466858059761201</v>
      </c>
      <c r="L19" s="24">
        <f t="shared" si="9"/>
        <v>0.84896251422364366</v>
      </c>
      <c r="M19" s="26">
        <f t="shared" si="1"/>
        <v>0.15103748577635634</v>
      </c>
      <c r="N19" s="27">
        <f t="shared" si="8"/>
        <v>68529.548855118512</v>
      </c>
      <c r="O19" s="28">
        <f t="shared" si="2"/>
        <v>10350.530760465079</v>
      </c>
      <c r="P19" s="24">
        <f t="shared" si="10"/>
        <v>2.5977738871755514</v>
      </c>
      <c r="Q19" s="27">
        <f>(C19*N20)+(P19*O19)</f>
        <v>317783.42900121061</v>
      </c>
      <c r="R19" s="27">
        <f t="shared" si="4"/>
        <v>989883.72928787651</v>
      </c>
      <c r="S19" s="21">
        <f t="shared" si="5"/>
        <v>14.444626381251036</v>
      </c>
      <c r="T19" s="30">
        <f t="shared" si="6"/>
        <v>-2.2231678510165054E-2</v>
      </c>
    </row>
    <row r="20" spans="2:28" ht="15" customHeight="1" x14ac:dyDescent="0.3">
      <c r="B20" s="18">
        <v>75</v>
      </c>
      <c r="C20" s="19">
        <v>5</v>
      </c>
      <c r="D20" s="20">
        <f>'Defunciones generales'!C19</f>
        <v>3335</v>
      </c>
      <c r="E20" s="20">
        <f>Homicidios!E18</f>
        <v>7.0053763440860219</v>
      </c>
      <c r="F20" s="21">
        <f t="shared" si="7"/>
        <v>0.99789943737808517</v>
      </c>
      <c r="G20" s="22">
        <f>'LT Ver'!G18</f>
        <v>55126.477119644798</v>
      </c>
      <c r="H20" s="23">
        <f>1-'LT Ver'!E18</f>
        <v>0.77903517547986101</v>
      </c>
      <c r="I20" s="24">
        <f t="shared" si="0"/>
        <v>0.22096482452013899</v>
      </c>
      <c r="J20" s="25">
        <f>'LT Ver'!D18</f>
        <v>2.5</v>
      </c>
      <c r="K20" s="58">
        <f>'LT Ver'!K18</f>
        <v>11.609450966971499</v>
      </c>
      <c r="L20" s="24">
        <f t="shared" si="9"/>
        <v>0.77944389327115615</v>
      </c>
      <c r="M20" s="26">
        <f t="shared" si="1"/>
        <v>0.22055610672884385</v>
      </c>
      <c r="N20" s="27">
        <f t="shared" si="8"/>
        <v>58179.018094653431</v>
      </c>
      <c r="O20" s="28">
        <f t="shared" si="2"/>
        <v>12831.737724263719</v>
      </c>
      <c r="P20" s="24">
        <f t="shared" si="10"/>
        <v>2.5741548298683732</v>
      </c>
      <c r="Q20" s="27">
        <f t="shared" si="3"/>
        <v>259767.28149046618</v>
      </c>
      <c r="R20" s="27">
        <f t="shared" si="4"/>
        <v>672100.30028666591</v>
      </c>
      <c r="S20" s="21">
        <f t="shared" si="5"/>
        <v>11.552279881953369</v>
      </c>
      <c r="T20" s="30">
        <f t="shared" si="6"/>
        <v>-5.717108501812973E-2</v>
      </c>
    </row>
    <row r="21" spans="2:28" ht="15" customHeight="1" x14ac:dyDescent="0.3">
      <c r="B21" s="18">
        <v>80</v>
      </c>
      <c r="C21" s="19">
        <v>5</v>
      </c>
      <c r="D21" s="20">
        <f>'Defunciones generales'!C20</f>
        <v>3298</v>
      </c>
      <c r="E21" s="20">
        <f>Homicidios!E19</f>
        <v>3.0023041474654377</v>
      </c>
      <c r="F21" s="21">
        <f t="shared" si="7"/>
        <v>0.99908965914267267</v>
      </c>
      <c r="G21" s="22">
        <f>'LT Ver'!G19</f>
        <v>42945.464776489003</v>
      </c>
      <c r="H21" s="23">
        <f>1-'LT Ver'!E19</f>
        <v>0.67078600091836504</v>
      </c>
      <c r="I21" s="24">
        <f t="shared" si="0"/>
        <v>0.32921399908163496</v>
      </c>
      <c r="J21" s="25">
        <f>'LT Ver'!D19</f>
        <v>2.5</v>
      </c>
      <c r="K21" s="58">
        <f>'LT Ver'!K19</f>
        <v>9.1932473060158504</v>
      </c>
      <c r="L21" s="24">
        <f t="shared" si="9"/>
        <v>0.67102987847698747</v>
      </c>
      <c r="M21" s="26">
        <f t="shared" si="1"/>
        <v>0.32897012152301253</v>
      </c>
      <c r="N21" s="27">
        <f t="shared" si="8"/>
        <v>45347.280370389708</v>
      </c>
      <c r="O21" s="28">
        <f t="shared" si="2"/>
        <v>14917.900334185222</v>
      </c>
      <c r="P21" s="28">
        <f>C21+(F21*(I21/M21)*(J21-C21))</f>
        <v>2.5004241980646089</v>
      </c>
      <c r="Q21" s="27">
        <f>(C21*N22)+(P21*O21)</f>
        <v>189447.97916093527</v>
      </c>
      <c r="R21" s="27">
        <f t="shared" si="4"/>
        <v>412333.01879619976</v>
      </c>
      <c r="S21" s="21">
        <f t="shared" si="5"/>
        <v>9.0927838544743196</v>
      </c>
      <c r="T21" s="30">
        <f t="shared" si="6"/>
        <v>-0.1004634515415308</v>
      </c>
    </row>
    <row r="22" spans="2:28" ht="15" customHeight="1" x14ac:dyDescent="0.3">
      <c r="B22" s="34">
        <v>85</v>
      </c>
      <c r="C22" s="35">
        <v>5</v>
      </c>
      <c r="D22" s="20">
        <f>'Defunciones generales'!C21</f>
        <v>4797</v>
      </c>
      <c r="E22" s="20">
        <f>Homicidios!E20</f>
        <v>3.0023041474654377</v>
      </c>
      <c r="F22" s="36">
        <f t="shared" si="7"/>
        <v>0.99937412879977794</v>
      </c>
      <c r="G22" s="22">
        <f>'LT Ver'!G20</f>
        <v>28807.216575001599</v>
      </c>
      <c r="H22" s="23">
        <f>1-'LT Ver'!E20</f>
        <v>0</v>
      </c>
      <c r="I22" s="37">
        <f t="shared" si="0"/>
        <v>1</v>
      </c>
      <c r="J22" s="25">
        <f>'LT Ver'!D20</f>
        <v>0</v>
      </c>
      <c r="K22" s="58">
        <f>'LT Ver'!K20</f>
        <v>7.4782155513862802</v>
      </c>
      <c r="L22" s="37">
        <f t="shared" si="9"/>
        <v>0</v>
      </c>
      <c r="M22" s="39">
        <f t="shared" si="1"/>
        <v>1</v>
      </c>
      <c r="N22" s="40">
        <f t="shared" si="8"/>
        <v>30429.380036204486</v>
      </c>
      <c r="O22" s="41">
        <f t="shared" si="2"/>
        <v>30429.380036204486</v>
      </c>
      <c r="P22" s="37">
        <f>K22/F22</f>
        <v>7.48289888229088</v>
      </c>
      <c r="Q22" s="38">
        <v>222885.03963526449</v>
      </c>
      <c r="R22" s="40">
        <f>Q22</f>
        <v>222885.03963526449</v>
      </c>
      <c r="S22" s="36">
        <f t="shared" si="5"/>
        <v>7.3246658121223218</v>
      </c>
      <c r="T22" s="42">
        <f t="shared" si="6"/>
        <v>-0.15354973926395843</v>
      </c>
    </row>
    <row r="24" spans="2:28" ht="15" customHeight="1" x14ac:dyDescent="0.3">
      <c r="B24" s="65" t="s">
        <v>55</v>
      </c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</row>
    <row r="25" spans="2:28" ht="14.4" x14ac:dyDescent="0.3">
      <c r="C25" s="43"/>
      <c r="D25" s="43"/>
      <c r="E25" s="43"/>
      <c r="F25" s="43"/>
    </row>
    <row r="26" spans="2:28" ht="33" customHeight="1" x14ac:dyDescent="0.3">
      <c r="B26" s="13" t="s">
        <v>40</v>
      </c>
      <c r="C26" s="14" t="s">
        <v>29</v>
      </c>
      <c r="D26" s="14" t="s">
        <v>41</v>
      </c>
      <c r="E26" s="14" t="s">
        <v>42</v>
      </c>
      <c r="F26" s="14"/>
      <c r="G26" s="15"/>
      <c r="H26" s="15"/>
      <c r="I26" s="15" t="s">
        <v>43</v>
      </c>
      <c r="J26" s="15"/>
      <c r="K26" s="16" t="s">
        <v>44</v>
      </c>
      <c r="L26" s="15"/>
      <c r="M26" s="15" t="s">
        <v>45</v>
      </c>
      <c r="N26" s="15"/>
      <c r="O26" s="15" t="s">
        <v>46</v>
      </c>
      <c r="P26" s="15"/>
      <c r="Q26" s="15" t="s">
        <v>47</v>
      </c>
      <c r="R26" s="15" t="s">
        <v>48</v>
      </c>
      <c r="S26" s="16" t="s">
        <v>49</v>
      </c>
      <c r="T26" s="17" t="s">
        <v>50</v>
      </c>
      <c r="AA26" s="44" t="s">
        <v>24</v>
      </c>
      <c r="AB26" s="44" t="s">
        <v>27</v>
      </c>
    </row>
    <row r="27" spans="2:28" ht="14.4" x14ac:dyDescent="0.3">
      <c r="B27" s="18">
        <v>0</v>
      </c>
      <c r="C27" s="19">
        <v>1</v>
      </c>
      <c r="D27" s="49">
        <f>'Defunciones generales'!D3</f>
        <v>643</v>
      </c>
      <c r="E27" s="49">
        <f>Homicidios!J2</f>
        <v>0</v>
      </c>
      <c r="F27" s="21">
        <f t="shared" ref="F27:F45" si="11">(D27-E27)/D27</f>
        <v>1</v>
      </c>
      <c r="G27" s="50">
        <f>'LT Ver'!G25</f>
        <v>100000</v>
      </c>
      <c r="H27" s="51">
        <f>1-'LT Ver'!E25</f>
        <v>0.98834188321285432</v>
      </c>
      <c r="I27" s="24">
        <f t="shared" ref="I27:I45" si="12">1-H27</f>
        <v>1.1658116787145678E-2</v>
      </c>
      <c r="J27" s="52">
        <f>'LT Ver'!D25</f>
        <v>8.5994300584602404E-2</v>
      </c>
      <c r="K27" s="54">
        <f>'LT Ver'!K25</f>
        <v>78.396350433541699</v>
      </c>
      <c r="L27" s="24">
        <f t="shared" ref="L27:L45" si="13">H27^F27</f>
        <v>0.98834188321285432</v>
      </c>
      <c r="M27" s="26">
        <f t="shared" ref="M27:M45" si="14">1-L27</f>
        <v>1.1658116787145678E-2</v>
      </c>
      <c r="N27" s="27">
        <v>100000</v>
      </c>
      <c r="O27" s="28">
        <f t="shared" ref="O27:O45" si="15">N27*M27</f>
        <v>1165.8116787145677</v>
      </c>
      <c r="P27" s="28">
        <f>C27+(F27*(I27/M27)*(J27-C27))</f>
        <v>8.5994300584602446E-2</v>
      </c>
      <c r="Q27" s="27">
        <f t="shared" ref="Q27:Q44" si="16">(C27*N28)+(P27*O27)</f>
        <v>98934.441481209855</v>
      </c>
      <c r="R27" s="27">
        <f t="shared" ref="R27:R44" si="17">R28+Q27</f>
        <v>7859270.7038285416</v>
      </c>
      <c r="S27" s="56">
        <f t="shared" ref="S27:S45" si="18">R27/N27</f>
        <v>78.592707038285411</v>
      </c>
      <c r="T27" s="30">
        <f t="shared" ref="T27:T45" si="19">S27-K27</f>
        <v>0.19635660474371264</v>
      </c>
      <c r="Z27" s="45" t="s">
        <v>56</v>
      </c>
      <c r="AA27" s="46">
        <f>S4</f>
        <v>74.311694974053367</v>
      </c>
      <c r="AB27" s="46">
        <f>S27</f>
        <v>78.592707038285411</v>
      </c>
    </row>
    <row r="28" spans="2:28" ht="14.4" x14ac:dyDescent="0.3">
      <c r="B28" s="18">
        <v>1</v>
      </c>
      <c r="C28" s="19">
        <v>4</v>
      </c>
      <c r="D28" s="49">
        <f>'Defunciones generales'!D4</f>
        <v>135</v>
      </c>
      <c r="E28" s="49">
        <f>Homicidios!J3</f>
        <v>0</v>
      </c>
      <c r="F28" s="21">
        <f t="shared" si="11"/>
        <v>1</v>
      </c>
      <c r="G28" s="50">
        <f>'LT Ver'!G26</f>
        <v>98834.188321285401</v>
      </c>
      <c r="H28" s="51">
        <f>1-'LT Ver'!E26</f>
        <v>0.99779815615965817</v>
      </c>
      <c r="I28" s="24">
        <f t="shared" si="12"/>
        <v>2.2018438403418328E-3</v>
      </c>
      <c r="J28" s="52">
        <f>'LT Ver'!D26</f>
        <v>2</v>
      </c>
      <c r="K28" s="53">
        <f>'LT Ver'!K26</f>
        <v>78.320070547955197</v>
      </c>
      <c r="L28" s="24">
        <f t="shared" si="13"/>
        <v>0.99779815615965817</v>
      </c>
      <c r="M28" s="26">
        <f t="shared" si="14"/>
        <v>2.2018438403418328E-3</v>
      </c>
      <c r="N28" s="27">
        <f t="shared" ref="N28:N45" si="20">N27*L27</f>
        <v>98834.18832128543</v>
      </c>
      <c r="O28" s="28">
        <f t="shared" si="15"/>
        <v>217.61744877040704</v>
      </c>
      <c r="P28" s="28">
        <f>C28+(F28*(I28/M28)*(J28-C28))</f>
        <v>2</v>
      </c>
      <c r="Q28" s="27">
        <f t="shared" si="16"/>
        <v>394901.5183876009</v>
      </c>
      <c r="R28" s="27">
        <f t="shared" si="17"/>
        <v>7760336.2623473313</v>
      </c>
      <c r="S28" s="21">
        <f t="shared" si="18"/>
        <v>78.518743302878178</v>
      </c>
      <c r="T28" s="30">
        <f t="shared" si="19"/>
        <v>0.1986727549229812</v>
      </c>
      <c r="U28" s="47"/>
      <c r="V28" s="59" t="s">
        <v>57</v>
      </c>
      <c r="W28" s="60"/>
      <c r="Z28" s="45" t="s">
        <v>58</v>
      </c>
      <c r="AA28" s="46">
        <f>K4</f>
        <v>72.6280202304429</v>
      </c>
      <c r="AB28" s="46">
        <f>K27</f>
        <v>78.396350433541699</v>
      </c>
    </row>
    <row r="29" spans="2:28" ht="14.4" x14ac:dyDescent="0.3">
      <c r="B29" s="18">
        <v>5</v>
      </c>
      <c r="C29" s="19">
        <v>5</v>
      </c>
      <c r="D29" s="49">
        <f>'Defunciones generales'!D5</f>
        <v>84</v>
      </c>
      <c r="E29" s="49">
        <f>Homicidios!J4</f>
        <v>0</v>
      </c>
      <c r="F29" s="21">
        <f t="shared" si="11"/>
        <v>1</v>
      </c>
      <c r="G29" s="50">
        <f>'LT Ver'!G27</f>
        <v>98616.570872515003</v>
      </c>
      <c r="H29" s="51">
        <f>1-'LT Ver'!E27</f>
        <v>0.9987176352000191</v>
      </c>
      <c r="I29" s="24">
        <f t="shared" si="12"/>
        <v>1.2823647999808951E-3</v>
      </c>
      <c r="J29" s="52">
        <f>'LT Ver'!D27</f>
        <v>2.5</v>
      </c>
      <c r="K29" s="53">
        <f>'LT Ver'!K27</f>
        <v>74.488486250262397</v>
      </c>
      <c r="L29" s="24">
        <f t="shared" si="13"/>
        <v>0.9987176352000191</v>
      </c>
      <c r="M29" s="26">
        <f t="shared" si="14"/>
        <v>1.2823647999808951E-3</v>
      </c>
      <c r="N29" s="27">
        <f t="shared" si="20"/>
        <v>98616.570872515018</v>
      </c>
      <c r="O29" s="28">
        <f t="shared" si="15"/>
        <v>126.46241918173449</v>
      </c>
      <c r="P29" s="28">
        <f>C29+(F29*(I29/M29)*(J29-C29))</f>
        <v>2.5</v>
      </c>
      <c r="Q29" s="27">
        <f t="shared" si="16"/>
        <v>492766.69831462076</v>
      </c>
      <c r="R29" s="27">
        <f t="shared" si="17"/>
        <v>7365434.7439597305</v>
      </c>
      <c r="S29" s="21">
        <f t="shared" si="18"/>
        <v>74.687597416881161</v>
      </c>
      <c r="T29" s="30">
        <f t="shared" si="19"/>
        <v>0.19911116661876349</v>
      </c>
      <c r="U29" s="47"/>
      <c r="V29" s="61"/>
      <c r="W29" s="62"/>
      <c r="AA29" s="48">
        <f>AA27-AA28</f>
        <v>1.6836747436104673</v>
      </c>
      <c r="AB29" s="48">
        <f>AB27-AB28</f>
        <v>0.19635660474371264</v>
      </c>
    </row>
    <row r="30" spans="2:28" ht="14.4" x14ac:dyDescent="0.3">
      <c r="B30" s="18">
        <v>10</v>
      </c>
      <c r="C30" s="19">
        <v>5</v>
      </c>
      <c r="D30" s="49">
        <f>'Defunciones generales'!D6</f>
        <v>144</v>
      </c>
      <c r="E30" s="49">
        <f>Homicidios!J5</f>
        <v>4</v>
      </c>
      <c r="F30" s="21">
        <f t="shared" si="11"/>
        <v>0.97222222222222221</v>
      </c>
      <c r="G30" s="50">
        <f>'LT Ver'!G28</f>
        <v>98490.108453333305</v>
      </c>
      <c r="H30" s="51">
        <f>1-'LT Ver'!E28</f>
        <v>0.9987658166473703</v>
      </c>
      <c r="I30" s="24">
        <f t="shared" si="12"/>
        <v>1.234183352629703E-3</v>
      </c>
      <c r="J30" s="52">
        <f>'LT Ver'!D28</f>
        <v>2.5</v>
      </c>
      <c r="K30" s="53">
        <f>'LT Ver'!K28</f>
        <v>69.580920285186295</v>
      </c>
      <c r="L30" s="24">
        <f t="shared" si="13"/>
        <v>0.99880007894155798</v>
      </c>
      <c r="M30" s="26">
        <f t="shared" si="14"/>
        <v>1.1999210584420217E-3</v>
      </c>
      <c r="N30" s="27">
        <f t="shared" si="20"/>
        <v>98490.108453333291</v>
      </c>
      <c r="O30" s="28">
        <f t="shared" si="15"/>
        <v>118.1803551813932</v>
      </c>
      <c r="P30" s="24">
        <f>(((-5/24)*O29)+((2.5)*O30)+((5/24)*O31))/O30</f>
        <v>2.6139738477225078</v>
      </c>
      <c r="Q30" s="27">
        <f t="shared" si="16"/>
        <v>492168.56084851822</v>
      </c>
      <c r="R30" s="27">
        <f t="shared" si="17"/>
        <v>6872668.0456451094</v>
      </c>
      <c r="S30" s="21">
        <f t="shared" si="18"/>
        <v>69.78028711280713</v>
      </c>
      <c r="T30" s="30">
        <f t="shared" si="19"/>
        <v>0.19936682762083535</v>
      </c>
      <c r="U30" s="47"/>
      <c r="V30" s="63"/>
      <c r="W30" s="64"/>
    </row>
    <row r="31" spans="2:28" ht="14.4" x14ac:dyDescent="0.3">
      <c r="B31" s="18">
        <v>15</v>
      </c>
      <c r="C31" s="19">
        <v>5</v>
      </c>
      <c r="D31" s="49">
        <f>'Defunciones generales'!D7</f>
        <v>175</v>
      </c>
      <c r="E31" s="49">
        <f>Homicidios!J6</f>
        <v>14</v>
      </c>
      <c r="F31" s="21">
        <f t="shared" si="11"/>
        <v>0.92</v>
      </c>
      <c r="G31" s="50">
        <f>'LT Ver'!G29</f>
        <v>98368.553601081498</v>
      </c>
      <c r="H31" s="51">
        <f>1-'LT Ver'!E29</f>
        <v>0.99788845158981998</v>
      </c>
      <c r="I31" s="24">
        <f t="shared" si="12"/>
        <v>2.1115484101800197E-3</v>
      </c>
      <c r="J31" s="52">
        <f>'LT Ver'!D29</f>
        <v>2.5</v>
      </c>
      <c r="K31" s="53">
        <f>'LT Ver'!K29</f>
        <v>64.6638127447751</v>
      </c>
      <c r="L31" s="24">
        <f t="shared" si="13"/>
        <v>0.99805721125994218</v>
      </c>
      <c r="M31" s="26">
        <f t="shared" si="14"/>
        <v>1.9427887400578214E-3</v>
      </c>
      <c r="N31" s="27">
        <f t="shared" si="20"/>
        <v>98371.928098151897</v>
      </c>
      <c r="O31" s="28">
        <f t="shared" si="15"/>
        <v>191.11587424686712</v>
      </c>
      <c r="P31" s="24">
        <f>(((-5/24)*O30)+((2.5)*O31)+((5/24)*O32))/O31</f>
        <v>2.6448584722160553</v>
      </c>
      <c r="Q31" s="27">
        <f t="shared" si="16"/>
        <v>491409.5355587019</v>
      </c>
      <c r="R31" s="27">
        <f t="shared" si="17"/>
        <v>6380499.4847965911</v>
      </c>
      <c r="S31" s="21">
        <f t="shared" si="18"/>
        <v>64.860978209457912</v>
      </c>
      <c r="T31" s="30">
        <f t="shared" si="19"/>
        <v>0.19716546468281138</v>
      </c>
      <c r="U31" s="44"/>
      <c r="V31" s="31" t="s">
        <v>52</v>
      </c>
      <c r="W31" s="31" t="s">
        <v>53</v>
      </c>
    </row>
    <row r="32" spans="2:28" ht="14.4" x14ac:dyDescent="0.3">
      <c r="B32" s="18">
        <v>20</v>
      </c>
      <c r="C32" s="19">
        <v>5</v>
      </c>
      <c r="D32" s="49">
        <f>'Defunciones generales'!D8</f>
        <v>239</v>
      </c>
      <c r="E32" s="49">
        <f>Homicidios!J7</f>
        <v>22</v>
      </c>
      <c r="F32" s="21">
        <f t="shared" si="11"/>
        <v>0.90794979079497906</v>
      </c>
      <c r="G32" s="50">
        <f>'LT Ver'!G30</f>
        <v>98160.843638113394</v>
      </c>
      <c r="H32" s="51">
        <f>1-'LT Ver'!E30</f>
        <v>0.99718391905135084</v>
      </c>
      <c r="I32" s="24">
        <f t="shared" si="12"/>
        <v>2.8160809486491578E-3</v>
      </c>
      <c r="J32" s="52">
        <f>'LT Ver'!D30</f>
        <v>2.5</v>
      </c>
      <c r="K32" s="53">
        <f>'LT Ver'!K30</f>
        <v>59.795352397090802</v>
      </c>
      <c r="L32" s="24">
        <f t="shared" si="13"/>
        <v>0.99744280815588404</v>
      </c>
      <c r="M32" s="26">
        <f t="shared" si="14"/>
        <v>2.557191844115958E-3</v>
      </c>
      <c r="N32" s="27">
        <f t="shared" si="20"/>
        <v>98180.812223905028</v>
      </c>
      <c r="O32" s="28">
        <f t="shared" si="15"/>
        <v>251.06717226765028</v>
      </c>
      <c r="P32" s="24">
        <f>(((-5/24)*O31)+((2.5)*O32)+((5/24)*O33))/O32</f>
        <v>2.6283115145876113</v>
      </c>
      <c r="Q32" s="27">
        <f t="shared" si="16"/>
        <v>490308.60799799295</v>
      </c>
      <c r="R32" s="27">
        <f t="shared" si="17"/>
        <v>5889089.9492378896</v>
      </c>
      <c r="S32" s="21">
        <f t="shared" si="18"/>
        <v>59.982086273717094</v>
      </c>
      <c r="T32" s="30">
        <f t="shared" si="19"/>
        <v>0.18673387662629182</v>
      </c>
      <c r="U32" s="48"/>
      <c r="V32" s="32">
        <f>([1]TV!M29-[1]TV!M47)/[1]TV!J29</f>
        <v>73.32569985958979</v>
      </c>
      <c r="W32" s="32">
        <f>(R27-R45)/N27</f>
        <v>75.476349629155507</v>
      </c>
    </row>
    <row r="33" spans="2:23" ht="14.4" x14ac:dyDescent="0.3">
      <c r="B33" s="18">
        <v>25</v>
      </c>
      <c r="C33" s="19">
        <v>5</v>
      </c>
      <c r="D33" s="49">
        <f>'Defunciones generales'!D9</f>
        <v>311</v>
      </c>
      <c r="E33" s="49">
        <f>Homicidios!J8</f>
        <v>28</v>
      </c>
      <c r="F33" s="21">
        <f t="shared" si="11"/>
        <v>0.909967845659164</v>
      </c>
      <c r="G33" s="50">
        <f>'LT Ver'!G31</f>
        <v>97884.414756440805</v>
      </c>
      <c r="H33" s="51">
        <f>1-'LT Ver'!E31</f>
        <v>0.99612080369156653</v>
      </c>
      <c r="I33" s="24">
        <f t="shared" si="12"/>
        <v>3.8791963084334746E-3</v>
      </c>
      <c r="J33" s="52">
        <f>'LT Ver'!D31</f>
        <v>2.5</v>
      </c>
      <c r="K33" s="53">
        <f>'LT Ver'!K31</f>
        <v>54.957156400594002</v>
      </c>
      <c r="L33" s="24">
        <f t="shared" si="13"/>
        <v>0.996469438801034</v>
      </c>
      <c r="M33" s="26">
        <f t="shared" si="14"/>
        <v>3.530561198965998E-3</v>
      </c>
      <c r="N33" s="27">
        <f t="shared" si="20"/>
        <v>97929.745051637379</v>
      </c>
      <c r="O33" s="28">
        <f t="shared" si="15"/>
        <v>345.74695810394337</v>
      </c>
      <c r="P33" s="24">
        <f>(((-5/24)*O32)+((2.5)*O33)+((5/24)*O34))/O33</f>
        <v>2.6317284586350911</v>
      </c>
      <c r="Q33" s="27">
        <f t="shared" si="16"/>
        <v>488829.90257679584</v>
      </c>
      <c r="R33" s="27">
        <f t="shared" si="17"/>
        <v>5398781.3412398966</v>
      </c>
      <c r="S33" s="21">
        <f t="shared" si="18"/>
        <v>55.129126889824668</v>
      </c>
      <c r="T33" s="30">
        <f t="shared" si="19"/>
        <v>0.1719704892306666</v>
      </c>
      <c r="V33" s="33" t="s">
        <v>54</v>
      </c>
      <c r="W33" s="32">
        <f>W32-V32</f>
        <v>2.1506497695657174</v>
      </c>
    </row>
    <row r="34" spans="2:23" ht="14.4" x14ac:dyDescent="0.3">
      <c r="B34" s="18">
        <v>30</v>
      </c>
      <c r="C34" s="19">
        <v>5</v>
      </c>
      <c r="D34" s="49">
        <f>'Defunciones generales'!D10</f>
        <v>374</v>
      </c>
      <c r="E34" s="49">
        <f>Homicidios!J9</f>
        <v>21</v>
      </c>
      <c r="F34" s="21">
        <f t="shared" si="11"/>
        <v>0.94385026737967914</v>
      </c>
      <c r="G34" s="50">
        <f>'LT Ver'!G32</f>
        <v>97504.701896064405</v>
      </c>
      <c r="H34" s="51">
        <f>1-'LT Ver'!E32</f>
        <v>0.99490129664452853</v>
      </c>
      <c r="I34" s="24">
        <f t="shared" si="12"/>
        <v>5.0987033554714678E-3</v>
      </c>
      <c r="J34" s="52">
        <f>'LT Ver'!D32</f>
        <v>2.5</v>
      </c>
      <c r="K34" s="53">
        <f>'LT Ver'!K32</f>
        <v>50.161440466046699</v>
      </c>
      <c r="L34" s="24">
        <f t="shared" si="13"/>
        <v>0.99518689736008026</v>
      </c>
      <c r="M34" s="26">
        <f t="shared" si="14"/>
        <v>4.8131026399197419E-3</v>
      </c>
      <c r="N34" s="27">
        <f t="shared" si="20"/>
        <v>97583.998093533432</v>
      </c>
      <c r="O34" s="28">
        <f t="shared" si="15"/>
        <v>469.68179883790884</v>
      </c>
      <c r="P34" s="24">
        <f t="shared" ref="P34:P42" si="21">(((-5/24)*O33)+((2.5)*O34)+((5/24)*O35))/O34</f>
        <v>2.6066147367031385</v>
      </c>
      <c r="Q34" s="27">
        <f t="shared" si="16"/>
        <v>486795.86097188981</v>
      </c>
      <c r="R34" s="27">
        <f t="shared" si="17"/>
        <v>4909951.4386631008</v>
      </c>
      <c r="S34" s="21">
        <f t="shared" si="18"/>
        <v>50.315128859108171</v>
      </c>
      <c r="T34" s="30">
        <f t="shared" si="19"/>
        <v>0.15368839306147208</v>
      </c>
    </row>
    <row r="35" spans="2:23" ht="14.4" x14ac:dyDescent="0.3">
      <c r="B35" s="18">
        <v>35</v>
      </c>
      <c r="C35" s="19">
        <v>5</v>
      </c>
      <c r="D35" s="49">
        <f>'Defunciones generales'!D11</f>
        <v>550</v>
      </c>
      <c r="E35" s="49">
        <f>Homicidios!J10</f>
        <v>16</v>
      </c>
      <c r="F35" s="21">
        <f t="shared" si="11"/>
        <v>0.97090909090909094</v>
      </c>
      <c r="G35" s="50">
        <f>'LT Ver'!G33</f>
        <v>97007.554345332697</v>
      </c>
      <c r="H35" s="51">
        <f>1-'LT Ver'!E33</f>
        <v>0.99378450513692373</v>
      </c>
      <c r="I35" s="24">
        <f t="shared" si="12"/>
        <v>6.2154948630762652E-3</v>
      </c>
      <c r="J35" s="52">
        <f>'LT Ver'!D33</f>
        <v>2.5</v>
      </c>
      <c r="K35" s="53">
        <f>'LT Ver'!K33</f>
        <v>45.405697406157699</v>
      </c>
      <c r="L35" s="24">
        <f t="shared" si="13"/>
        <v>0.99396477278747741</v>
      </c>
      <c r="M35" s="26">
        <f t="shared" si="14"/>
        <v>6.035227212522587E-3</v>
      </c>
      <c r="N35" s="27">
        <f t="shared" si="20"/>
        <v>97114.316294695527</v>
      </c>
      <c r="O35" s="28">
        <f t="shared" si="15"/>
        <v>586.10696442727215</v>
      </c>
      <c r="P35" s="24">
        <f t="shared" si="21"/>
        <v>2.6502331118294031</v>
      </c>
      <c r="Q35" s="27">
        <f t="shared" si="16"/>
        <v>484194.36673554021</v>
      </c>
      <c r="R35" s="27">
        <f t="shared" si="17"/>
        <v>4423155.5776912114</v>
      </c>
      <c r="S35" s="21">
        <f t="shared" si="18"/>
        <v>45.545865392997761</v>
      </c>
      <c r="T35" s="30">
        <f t="shared" si="19"/>
        <v>0.14016798684006204</v>
      </c>
    </row>
    <row r="36" spans="2:23" ht="14.4" x14ac:dyDescent="0.3">
      <c r="B36" s="18">
        <v>40</v>
      </c>
      <c r="C36" s="19">
        <v>5</v>
      </c>
      <c r="D36" s="49">
        <f>'Defunciones generales'!D12</f>
        <v>870</v>
      </c>
      <c r="E36" s="49">
        <f>Homicidios!J11</f>
        <v>23</v>
      </c>
      <c r="F36" s="21">
        <f t="shared" si="11"/>
        <v>0.97356321839080462</v>
      </c>
      <c r="G36" s="50">
        <f>'LT Ver'!G34</f>
        <v>96404.604389619693</v>
      </c>
      <c r="H36" s="51">
        <f>1-'LT Ver'!E34</f>
        <v>0.99050588117506122</v>
      </c>
      <c r="I36" s="24">
        <f t="shared" si="12"/>
        <v>9.4941188249387798E-3</v>
      </c>
      <c r="J36" s="52">
        <f>'LT Ver'!D34</f>
        <v>2.5</v>
      </c>
      <c r="K36" s="53">
        <f>'LT Ver'!K34</f>
        <v>40.6740454639571</v>
      </c>
      <c r="L36" s="24">
        <f t="shared" si="13"/>
        <v>0.99075571135052731</v>
      </c>
      <c r="M36" s="26">
        <f t="shared" si="14"/>
        <v>9.2442886494726872E-3</v>
      </c>
      <c r="N36" s="27">
        <f t="shared" si="20"/>
        <v>96528.209330268248</v>
      </c>
      <c r="O36" s="28">
        <f t="shared" si="15"/>
        <v>892.33462986572226</v>
      </c>
      <c r="P36" s="24">
        <f t="shared" si="21"/>
        <v>2.6845442912823874</v>
      </c>
      <c r="Q36" s="27">
        <f t="shared" si="16"/>
        <v>480574.88533853216</v>
      </c>
      <c r="R36" s="27">
        <f t="shared" si="17"/>
        <v>3938961.2109556715</v>
      </c>
      <c r="S36" s="21">
        <f t="shared" si="18"/>
        <v>40.806322196225963</v>
      </c>
      <c r="T36" s="30">
        <f t="shared" si="19"/>
        <v>0.13227673226886338</v>
      </c>
    </row>
    <row r="37" spans="2:23" ht="14.4" x14ac:dyDescent="0.3">
      <c r="B37" s="18">
        <v>45</v>
      </c>
      <c r="C37" s="19">
        <v>5</v>
      </c>
      <c r="D37" s="49">
        <f>'Defunciones generales'!D13</f>
        <v>86</v>
      </c>
      <c r="E37" s="49">
        <f>Homicidios!J12</f>
        <v>8</v>
      </c>
      <c r="F37" s="21">
        <f t="shared" si="11"/>
        <v>0.90697674418604646</v>
      </c>
      <c r="G37" s="50">
        <f>'LT Ver'!G35</f>
        <v>95489.3276202735</v>
      </c>
      <c r="H37" s="51">
        <f>1-'LT Ver'!E35</f>
        <v>0.98414185565807655</v>
      </c>
      <c r="I37" s="24">
        <f t="shared" si="12"/>
        <v>1.5858144341923452E-2</v>
      </c>
      <c r="J37" s="52">
        <f>'LT Ver'!D35</f>
        <v>2.5</v>
      </c>
      <c r="K37" s="53">
        <f>'LT Ver'!K35</f>
        <v>36.039948312745302</v>
      </c>
      <c r="L37" s="24">
        <f t="shared" si="13"/>
        <v>0.98560636136130908</v>
      </c>
      <c r="M37" s="26">
        <f t="shared" si="14"/>
        <v>1.439363863869092E-2</v>
      </c>
      <c r="N37" s="27">
        <f t="shared" si="20"/>
        <v>95635.874700402521</v>
      </c>
      <c r="O37" s="28">
        <f t="shared" si="15"/>
        <v>1376.548221332717</v>
      </c>
      <c r="P37" s="24">
        <f t="shared" si="21"/>
        <v>2.6706751170251901</v>
      </c>
      <c r="Q37" s="27">
        <f t="shared" si="16"/>
        <v>474972.94547744753</v>
      </c>
      <c r="R37" s="27">
        <f t="shared" si="17"/>
        <v>3458386.3256171392</v>
      </c>
      <c r="S37" s="21">
        <f t="shared" si="18"/>
        <v>36.162019079672653</v>
      </c>
      <c r="T37" s="30">
        <f t="shared" si="19"/>
        <v>0.12207076692735086</v>
      </c>
    </row>
    <row r="38" spans="2:23" ht="14.4" x14ac:dyDescent="0.3">
      <c r="B38" s="18">
        <v>50</v>
      </c>
      <c r="C38" s="19">
        <v>5</v>
      </c>
      <c r="D38" s="49">
        <f>'Defunciones generales'!D14</f>
        <v>1114</v>
      </c>
      <c r="E38" s="49">
        <f>Homicidios!J13</f>
        <v>7</v>
      </c>
      <c r="F38" s="21">
        <f t="shared" si="11"/>
        <v>0.99371633752244171</v>
      </c>
      <c r="G38" s="50">
        <f>'LT Ver'!G36</f>
        <v>93975.044079757994</v>
      </c>
      <c r="H38" s="51">
        <f>1-'LT Ver'!E36</f>
        <v>0.97843509233806958</v>
      </c>
      <c r="I38" s="24">
        <f t="shared" si="12"/>
        <v>2.1564907661930421E-2</v>
      </c>
      <c r="J38" s="52">
        <f>'LT Ver'!D36</f>
        <v>2.5</v>
      </c>
      <c r="K38" s="53">
        <f>'LT Ver'!K36</f>
        <v>31.580400218643099</v>
      </c>
      <c r="L38" s="24">
        <f t="shared" si="13"/>
        <v>0.97856913640906595</v>
      </c>
      <c r="M38" s="26">
        <f t="shared" si="14"/>
        <v>2.1430863590934046E-2</v>
      </c>
      <c r="N38" s="27">
        <f t="shared" si="20"/>
        <v>94259.326479069801</v>
      </c>
      <c r="O38" s="28">
        <f t="shared" si="15"/>
        <v>2020.0587679462624</v>
      </c>
      <c r="P38" s="24">
        <f t="shared" si="21"/>
        <v>2.7081631144246137</v>
      </c>
      <c r="Q38" s="27">
        <f t="shared" si="16"/>
        <v>466666.98719993985</v>
      </c>
      <c r="R38" s="27">
        <f t="shared" si="17"/>
        <v>2983413.3801396918</v>
      </c>
      <c r="S38" s="21">
        <f t="shared" si="18"/>
        <v>31.651121343437097</v>
      </c>
      <c r="T38" s="30">
        <f t="shared" si="19"/>
        <v>7.0721124793998058E-2</v>
      </c>
    </row>
    <row r="39" spans="2:23" ht="14.4" x14ac:dyDescent="0.3">
      <c r="B39" s="18">
        <v>55</v>
      </c>
      <c r="C39" s="19">
        <v>5</v>
      </c>
      <c r="D39" s="49">
        <f>'Defunciones generales'!D15</f>
        <v>1592</v>
      </c>
      <c r="E39" s="49">
        <f>Homicidios!J14</f>
        <v>7</v>
      </c>
      <c r="F39" s="21">
        <f t="shared" si="11"/>
        <v>0.99560301507537685</v>
      </c>
      <c r="G39" s="50">
        <f>'LT Ver'!G37</f>
        <v>91948.480931652099</v>
      </c>
      <c r="H39" s="51">
        <f>1-'LT Ver'!E37</f>
        <v>0.96303451350447666</v>
      </c>
      <c r="I39" s="24">
        <f t="shared" si="12"/>
        <v>3.6965486495523336E-2</v>
      </c>
      <c r="J39" s="52">
        <f>'LT Ver'!D37</f>
        <v>2.5</v>
      </c>
      <c r="K39" s="53">
        <f>'LT Ver'!K37</f>
        <v>27.2213381310277</v>
      </c>
      <c r="L39" s="24">
        <f t="shared" si="13"/>
        <v>0.96319402155971123</v>
      </c>
      <c r="M39" s="26">
        <f t="shared" si="14"/>
        <v>3.6805978440288767E-2</v>
      </c>
      <c r="N39" s="27">
        <f t="shared" si="20"/>
        <v>92239.267711123539</v>
      </c>
      <c r="O39" s="28">
        <f t="shared" si="15"/>
        <v>3394.9564987236367</v>
      </c>
      <c r="P39" s="24">
        <f t="shared" si="21"/>
        <v>2.6792328181033866</v>
      </c>
      <c r="Q39" s="27">
        <f t="shared" si="16"/>
        <v>453317.43492941326</v>
      </c>
      <c r="R39" s="27">
        <f t="shared" si="17"/>
        <v>2516746.392939752</v>
      </c>
      <c r="S39" s="21">
        <f t="shared" si="18"/>
        <v>27.284978029332798</v>
      </c>
      <c r="T39" s="30">
        <f t="shared" si="19"/>
        <v>6.3639898305098086E-2</v>
      </c>
    </row>
    <row r="40" spans="2:23" ht="14.4" x14ac:dyDescent="0.3">
      <c r="B40" s="18">
        <v>60</v>
      </c>
      <c r="C40" s="19">
        <v>5</v>
      </c>
      <c r="D40" s="49">
        <f>'Defunciones generales'!D16</f>
        <v>2063</v>
      </c>
      <c r="E40" s="49">
        <f>Homicidios!J15</f>
        <v>4</v>
      </c>
      <c r="F40" s="21">
        <f t="shared" si="11"/>
        <v>0.99806107610276296</v>
      </c>
      <c r="G40" s="50">
        <f>'LT Ver'!G38</f>
        <v>88549.560601489298</v>
      </c>
      <c r="H40" s="51">
        <f>1-'LT Ver'!E38</f>
        <v>0.94428314855576412</v>
      </c>
      <c r="I40" s="24">
        <f t="shared" si="12"/>
        <v>5.5716851444235882E-2</v>
      </c>
      <c r="J40" s="52">
        <f>'LT Ver'!D38</f>
        <v>2.5</v>
      </c>
      <c r="K40" s="53">
        <f>'LT Ver'!K38</f>
        <v>23.170251464889802</v>
      </c>
      <c r="L40" s="24">
        <f t="shared" si="13"/>
        <v>0.94438811805252676</v>
      </c>
      <c r="M40" s="26">
        <f t="shared" si="14"/>
        <v>5.5611881947473241E-2</v>
      </c>
      <c r="N40" s="27">
        <f t="shared" si="20"/>
        <v>88844.311212399902</v>
      </c>
      <c r="O40" s="28">
        <f t="shared" si="15"/>
        <v>4940.7993468485565</v>
      </c>
      <c r="P40" s="24">
        <f t="shared" si="21"/>
        <v>2.6392169660395997</v>
      </c>
      <c r="Q40" s="27">
        <f t="shared" si="16"/>
        <v>432557.40078975685</v>
      </c>
      <c r="R40" s="27">
        <f t="shared" si="17"/>
        <v>2063428.9580103389</v>
      </c>
      <c r="S40" s="21">
        <f t="shared" si="18"/>
        <v>23.225223200586292</v>
      </c>
      <c r="T40" s="30">
        <f t="shared" si="19"/>
        <v>5.4971735696490498E-2</v>
      </c>
    </row>
    <row r="41" spans="2:23" ht="14.4" x14ac:dyDescent="0.3">
      <c r="B41" s="18">
        <v>65</v>
      </c>
      <c r="C41" s="19">
        <v>5</v>
      </c>
      <c r="D41" s="49">
        <f>'Defunciones generales'!D17</f>
        <v>2402</v>
      </c>
      <c r="E41" s="49">
        <f>Homicidios!J16</f>
        <v>6</v>
      </c>
      <c r="F41" s="21">
        <f t="shared" si="11"/>
        <v>0.99750208159866782</v>
      </c>
      <c r="G41" s="50">
        <f>'LT Ver'!G39</f>
        <v>83615.857888003695</v>
      </c>
      <c r="H41" s="51">
        <f>1-'LT Ver'!E39</f>
        <v>0.91999520370913157</v>
      </c>
      <c r="I41" s="24">
        <f t="shared" si="12"/>
        <v>8.000479629086843E-2</v>
      </c>
      <c r="J41" s="52">
        <f>'LT Ver'!D39</f>
        <v>2.5</v>
      </c>
      <c r="K41" s="53">
        <f>'LT Ver'!K39</f>
        <v>19.389887049773101</v>
      </c>
      <c r="L41" s="24">
        <f t="shared" si="13"/>
        <v>0.92018685266866862</v>
      </c>
      <c r="M41" s="26">
        <f t="shared" si="14"/>
        <v>7.981314733133138E-2</v>
      </c>
      <c r="N41" s="27">
        <f t="shared" si="20"/>
        <v>83903.511865551351</v>
      </c>
      <c r="O41" s="28">
        <f t="shared" si="15"/>
        <v>6696.6033541413608</v>
      </c>
      <c r="P41" s="24">
        <f t="shared" si="21"/>
        <v>2.6288232889864038</v>
      </c>
      <c r="Q41" s="27">
        <f t="shared" si="16"/>
        <v>403638.72941152123</v>
      </c>
      <c r="R41" s="27">
        <f t="shared" si="17"/>
        <v>1630871.5572205822</v>
      </c>
      <c r="S41" s="21">
        <f t="shared" si="18"/>
        <v>19.437464784953495</v>
      </c>
      <c r="T41" s="30">
        <f t="shared" si="19"/>
        <v>4.7577735180393432E-2</v>
      </c>
    </row>
    <row r="42" spans="2:23" ht="14.4" x14ac:dyDescent="0.3">
      <c r="B42" s="18">
        <v>70</v>
      </c>
      <c r="C42" s="19">
        <v>5</v>
      </c>
      <c r="D42" s="49">
        <f>'Defunciones generales'!D18</f>
        <v>2648</v>
      </c>
      <c r="E42" s="49">
        <f>Homicidios!J17</f>
        <v>3</v>
      </c>
      <c r="F42" s="21">
        <f t="shared" si="11"/>
        <v>0.9988670694864048</v>
      </c>
      <c r="G42" s="50">
        <f>'LT Ver'!G40</f>
        <v>76926.188210987806</v>
      </c>
      <c r="H42" s="51">
        <f>1-'LT Ver'!E40</f>
        <v>0.88224726296036105</v>
      </c>
      <c r="I42" s="24">
        <f t="shared" si="12"/>
        <v>0.11775273703963895</v>
      </c>
      <c r="J42" s="52">
        <f>'LT Ver'!D40</f>
        <v>2.5</v>
      </c>
      <c r="K42" s="53">
        <f>'LT Ver'!K40</f>
        <v>15.85866859053</v>
      </c>
      <c r="L42" s="24">
        <f t="shared" si="13"/>
        <v>0.88237249523762218</v>
      </c>
      <c r="M42" s="26">
        <f t="shared" si="14"/>
        <v>0.11762750476237782</v>
      </c>
      <c r="N42" s="27">
        <f t="shared" si="20"/>
        <v>77206.908511409987</v>
      </c>
      <c r="O42" s="28">
        <f t="shared" si="15"/>
        <v>9081.6559986143475</v>
      </c>
      <c r="P42" s="24">
        <f t="shared" si="21"/>
        <v>2.6269711454160247</v>
      </c>
      <c r="Q42" s="27">
        <f t="shared" si="16"/>
        <v>364483.51082493243</v>
      </c>
      <c r="R42" s="27">
        <f t="shared" si="17"/>
        <v>1227232.8278090609</v>
      </c>
      <c r="S42" s="21">
        <f t="shared" si="18"/>
        <v>15.895375834504433</v>
      </c>
      <c r="T42" s="30">
        <f t="shared" si="19"/>
        <v>3.6707243974433368E-2</v>
      </c>
    </row>
    <row r="43" spans="2:23" ht="14.4" x14ac:dyDescent="0.3">
      <c r="B43" s="18">
        <v>75</v>
      </c>
      <c r="C43" s="19">
        <v>5</v>
      </c>
      <c r="D43" s="49">
        <f>'Defunciones generales'!D19</f>
        <v>2956</v>
      </c>
      <c r="E43" s="49">
        <f>Homicidios!J18</f>
        <v>2</v>
      </c>
      <c r="F43" s="21">
        <f t="shared" si="11"/>
        <v>0.99932341001353175</v>
      </c>
      <c r="G43" s="50">
        <f>'LT Ver'!G41</f>
        <v>67867.918999117494</v>
      </c>
      <c r="H43" s="51">
        <f>1-'LT Ver'!E41</f>
        <v>0.82034545211440502</v>
      </c>
      <c r="I43" s="24">
        <f t="shared" si="12"/>
        <v>0.17965454788559498</v>
      </c>
      <c r="J43" s="52">
        <f>'LT Ver'!D41</f>
        <v>2.5</v>
      </c>
      <c r="K43" s="53">
        <f>'LT Ver'!K41</f>
        <v>12.6416378960534</v>
      </c>
      <c r="L43" s="24">
        <f t="shared" si="13"/>
        <v>0.82045537341601515</v>
      </c>
      <c r="M43" s="26">
        <f t="shared" si="14"/>
        <v>0.17954462658398485</v>
      </c>
      <c r="N43" s="27">
        <f t="shared" si="20"/>
        <v>68125.252512795647</v>
      </c>
      <c r="O43" s="28">
        <f t="shared" si="15"/>
        <v>12231.523023349569</v>
      </c>
      <c r="P43" s="24">
        <f>(((-5/24)*O42)+((2.5)*O43)+((5/24)*O44))/O43</f>
        <v>2.6166899933557017</v>
      </c>
      <c r="Q43" s="27">
        <f t="shared" si="16"/>
        <v>311474.75134592911</v>
      </c>
      <c r="R43" s="27">
        <f t="shared" si="17"/>
        <v>862749.31698412844</v>
      </c>
      <c r="S43" s="21">
        <f t="shared" si="18"/>
        <v>12.66416321645314</v>
      </c>
      <c r="T43" s="30">
        <f t="shared" si="19"/>
        <v>2.2525320399740423E-2</v>
      </c>
    </row>
    <row r="44" spans="2:23" ht="14.4" x14ac:dyDescent="0.3">
      <c r="B44" s="18">
        <v>80</v>
      </c>
      <c r="C44" s="19">
        <v>5</v>
      </c>
      <c r="D44" s="49">
        <f>'Defunciones generales'!D20</f>
        <v>3369</v>
      </c>
      <c r="E44" s="49">
        <f>Homicidios!J19</f>
        <v>1</v>
      </c>
      <c r="F44" s="21">
        <f t="shared" si="11"/>
        <v>0.99970317601662217</v>
      </c>
      <c r="G44" s="50">
        <f>'LT Ver'!G42</f>
        <v>55675.138695394897</v>
      </c>
      <c r="H44" s="51">
        <f>1-'LT Ver'!E42</f>
        <v>0.714875718311766</v>
      </c>
      <c r="I44" s="24">
        <f t="shared" si="12"/>
        <v>0.285124281688234</v>
      </c>
      <c r="J44" s="52">
        <f>'LT Ver'!D42</f>
        <v>2.5</v>
      </c>
      <c r="K44" s="53">
        <f>'LT Ver'!K42</f>
        <v>9.8626429206303108</v>
      </c>
      <c r="L44" s="24">
        <f t="shared" si="13"/>
        <v>0.71494694346381549</v>
      </c>
      <c r="M44" s="26">
        <f t="shared" si="14"/>
        <v>0.28505305653618451</v>
      </c>
      <c r="N44" s="27">
        <f t="shared" si="20"/>
        <v>55893.729489446079</v>
      </c>
      <c r="O44" s="28">
        <f t="shared" si="15"/>
        <v>15932.678432173278</v>
      </c>
      <c r="P44" s="28">
        <f>C44+(F44*(I44/M44)*(J44-C44))</f>
        <v>2.5001175796285247</v>
      </c>
      <c r="Q44" s="27">
        <f t="shared" si="16"/>
        <v>239638.82472520866</v>
      </c>
      <c r="R44" s="27">
        <f t="shared" si="17"/>
        <v>551274.56563819933</v>
      </c>
      <c r="S44" s="21">
        <f t="shared" si="18"/>
        <v>9.8629053862346332</v>
      </c>
      <c r="T44" s="30">
        <f t="shared" si="19"/>
        <v>2.6246560432241495E-4</v>
      </c>
    </row>
    <row r="45" spans="2:23" ht="14.4" x14ac:dyDescent="0.3">
      <c r="B45" s="34">
        <v>85</v>
      </c>
      <c r="C45" s="35">
        <v>5</v>
      </c>
      <c r="D45" s="49">
        <f>'Defunciones generales'!D21</f>
        <v>6195</v>
      </c>
      <c r="E45" s="49">
        <f>Homicidios!J20</f>
        <v>1</v>
      </c>
      <c r="F45" s="36">
        <f t="shared" si="11"/>
        <v>0.99983857949959642</v>
      </c>
      <c r="G45" s="50">
        <f>'LT Ver'!G43</f>
        <v>39800.804766977701</v>
      </c>
      <c r="H45" s="51">
        <f>1-'LT Ver'!E43</f>
        <v>0</v>
      </c>
      <c r="I45" s="37">
        <f t="shared" si="12"/>
        <v>1</v>
      </c>
      <c r="J45" s="52">
        <f>'LT Ver'!D43</f>
        <v>0</v>
      </c>
      <c r="K45" s="53">
        <f>'LT Ver'!K43</f>
        <v>7.7991928974979796</v>
      </c>
      <c r="L45" s="37">
        <f t="shared" si="13"/>
        <v>0</v>
      </c>
      <c r="M45" s="39">
        <f t="shared" si="14"/>
        <v>1</v>
      </c>
      <c r="N45" s="40">
        <f t="shared" si="20"/>
        <v>39961.051057272802</v>
      </c>
      <c r="O45" s="41">
        <f t="shared" si="15"/>
        <v>39961.051057272802</v>
      </c>
      <c r="P45" s="37">
        <f>K45/F45</f>
        <v>7.8004520503713248</v>
      </c>
      <c r="Q45" s="55">
        <v>311635.7409129907</v>
      </c>
      <c r="R45" s="40">
        <f>Q45</f>
        <v>311635.7409129907</v>
      </c>
      <c r="S45" s="36">
        <f t="shared" si="18"/>
        <v>7.7984870935038595</v>
      </c>
      <c r="T45" s="42">
        <f t="shared" si="19"/>
        <v>-7.058039941201244E-4</v>
      </c>
    </row>
    <row r="46" spans="2:23" ht="15" customHeight="1" x14ac:dyDescent="0.3">
      <c r="D46" s="27"/>
    </row>
  </sheetData>
  <mergeCells count="4">
    <mergeCell ref="V5:W7"/>
    <mergeCell ref="B24:T24"/>
    <mergeCell ref="V28:W30"/>
    <mergeCell ref="B2:T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26"/>
  <sheetViews>
    <sheetView topLeftCell="A9" workbookViewId="0">
      <selection activeCell="A4" sqref="A4"/>
    </sheetView>
  </sheetViews>
  <sheetFormatPr baseColWidth="10" defaultColWidth="8.88671875" defaultRowHeight="14.4" x14ac:dyDescent="0.3"/>
  <cols>
    <col min="2" max="6" width="9.109375" customWidth="1"/>
    <col min="7" max="7" width="15.33203125" customWidth="1"/>
    <col min="8" max="10" width="9.109375" customWidth="1"/>
  </cols>
  <sheetData>
    <row r="1" spans="1:17" x14ac:dyDescent="0.3">
      <c r="A1" s="68" t="s">
        <v>59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</row>
    <row r="2" spans="1:17" x14ac:dyDescent="0.3">
      <c r="B2" s="1"/>
      <c r="C2" s="1"/>
      <c r="D2" s="1"/>
      <c r="E2" s="1"/>
      <c r="F2" s="1"/>
      <c r="G2" s="1"/>
      <c r="H2" s="1"/>
      <c r="I2" s="1"/>
      <c r="J2" s="67"/>
    </row>
    <row r="3" spans="1:17" x14ac:dyDescent="0.3">
      <c r="B3" s="1"/>
      <c r="C3" s="1"/>
      <c r="D3" s="1"/>
      <c r="E3" s="1"/>
      <c r="F3" s="1"/>
      <c r="G3" s="1"/>
      <c r="H3" s="1"/>
      <c r="I3" s="1"/>
      <c r="J3" s="67"/>
    </row>
    <row r="4" spans="1:17" x14ac:dyDescent="0.3">
      <c r="B4" s="1"/>
      <c r="C4" s="1"/>
      <c r="D4" s="1"/>
      <c r="E4" s="1"/>
      <c r="F4" s="1"/>
      <c r="G4" s="1"/>
      <c r="H4" s="1"/>
      <c r="I4" s="1"/>
      <c r="J4" s="67"/>
    </row>
    <row r="5" spans="1:17" x14ac:dyDescent="0.3">
      <c r="B5" s="1"/>
      <c r="C5" s="1"/>
      <c r="D5" s="1"/>
      <c r="E5" s="1"/>
      <c r="F5" s="1"/>
      <c r="G5" s="1"/>
      <c r="H5" s="1"/>
      <c r="I5" s="1"/>
      <c r="J5" s="1"/>
    </row>
    <row r="6" spans="1:17" x14ac:dyDescent="0.3">
      <c r="A6" s="3" t="s">
        <v>5</v>
      </c>
      <c r="B6" s="4" t="s">
        <v>6</v>
      </c>
      <c r="C6" s="4" t="s">
        <v>7</v>
      </c>
      <c r="D6" s="4" t="s">
        <v>8</v>
      </c>
      <c r="E6" s="1" t="s">
        <v>1</v>
      </c>
      <c r="F6" s="1" t="s">
        <v>2</v>
      </c>
      <c r="G6" s="4" t="s">
        <v>9</v>
      </c>
      <c r="H6" s="1"/>
      <c r="I6" s="1"/>
      <c r="J6" s="1"/>
    </row>
    <row r="7" spans="1:17" x14ac:dyDescent="0.3">
      <c r="A7" t="s">
        <v>0</v>
      </c>
      <c r="B7" s="1">
        <v>1990</v>
      </c>
      <c r="C7" s="1" t="s">
        <v>0</v>
      </c>
      <c r="D7" s="2">
        <v>759</v>
      </c>
      <c r="E7" s="2">
        <v>696</v>
      </c>
      <c r="F7" s="2">
        <v>62</v>
      </c>
      <c r="G7" s="2">
        <v>1</v>
      </c>
      <c r="H7" s="1"/>
      <c r="I7" s="1"/>
      <c r="J7" s="1"/>
    </row>
    <row r="8" spans="1:17" x14ac:dyDescent="0.3">
      <c r="A8" t="s">
        <v>0</v>
      </c>
      <c r="B8" s="1">
        <v>1991</v>
      </c>
      <c r="C8" s="1" t="s">
        <v>0</v>
      </c>
      <c r="D8" s="2">
        <v>850</v>
      </c>
      <c r="E8" s="2">
        <v>778</v>
      </c>
      <c r="F8" s="2">
        <v>72</v>
      </c>
      <c r="G8" s="2"/>
      <c r="H8" s="1"/>
      <c r="I8" s="1"/>
      <c r="J8" s="1"/>
    </row>
    <row r="9" spans="1:17" x14ac:dyDescent="0.3">
      <c r="A9" t="s">
        <v>0</v>
      </c>
      <c r="B9" s="1">
        <v>1992</v>
      </c>
      <c r="C9" s="1" t="s">
        <v>0</v>
      </c>
      <c r="D9" s="2">
        <v>733</v>
      </c>
      <c r="E9" s="2">
        <v>668</v>
      </c>
      <c r="F9" s="2">
        <v>63</v>
      </c>
      <c r="G9" s="2">
        <v>2</v>
      </c>
      <c r="H9" s="1"/>
      <c r="I9" s="1"/>
      <c r="J9" s="1"/>
    </row>
    <row r="10" spans="1:17" x14ac:dyDescent="0.3">
      <c r="A10" t="s">
        <v>0</v>
      </c>
      <c r="B10" s="1">
        <v>1993</v>
      </c>
      <c r="C10" s="1" t="s">
        <v>0</v>
      </c>
      <c r="D10" s="2">
        <v>706</v>
      </c>
      <c r="E10" s="2">
        <v>645</v>
      </c>
      <c r="F10" s="2">
        <v>61</v>
      </c>
      <c r="G10" s="2"/>
      <c r="H10" s="1"/>
      <c r="I10" s="1"/>
      <c r="J10" s="1"/>
    </row>
    <row r="11" spans="1:17" x14ac:dyDescent="0.3">
      <c r="A11" t="s">
        <v>0</v>
      </c>
      <c r="B11" s="1">
        <v>1994</v>
      </c>
      <c r="C11" s="1" t="s">
        <v>0</v>
      </c>
      <c r="D11" s="2">
        <v>696</v>
      </c>
      <c r="E11" s="2">
        <v>644</v>
      </c>
      <c r="F11" s="2">
        <v>52</v>
      </c>
      <c r="G11" s="2"/>
      <c r="H11" s="1"/>
      <c r="I11" s="1"/>
      <c r="J11" s="1"/>
    </row>
    <row r="12" spans="1:17" x14ac:dyDescent="0.3">
      <c r="A12" t="s">
        <v>0</v>
      </c>
      <c r="B12" s="1">
        <v>1995</v>
      </c>
      <c r="C12" s="1" t="s">
        <v>0</v>
      </c>
      <c r="D12" s="2">
        <v>633</v>
      </c>
      <c r="E12" s="2">
        <v>568</v>
      </c>
      <c r="F12" s="2">
        <v>63</v>
      </c>
      <c r="G12" s="2">
        <v>2</v>
      </c>
      <c r="H12" s="1"/>
      <c r="I12" s="1"/>
      <c r="J12" s="1"/>
    </row>
    <row r="13" spans="1:17" x14ac:dyDescent="0.3">
      <c r="A13" t="s">
        <v>0</v>
      </c>
      <c r="B13" s="1">
        <v>1996</v>
      </c>
      <c r="C13" s="1" t="s">
        <v>0</v>
      </c>
      <c r="D13" s="2">
        <v>564</v>
      </c>
      <c r="E13" s="2">
        <v>518</v>
      </c>
      <c r="F13" s="2">
        <v>46</v>
      </c>
      <c r="G13" s="2"/>
      <c r="H13" s="1"/>
      <c r="I13" s="1"/>
      <c r="J13" s="1"/>
    </row>
    <row r="14" spans="1:17" x14ac:dyDescent="0.3">
      <c r="A14" t="s">
        <v>0</v>
      </c>
      <c r="B14" s="1">
        <v>1997</v>
      </c>
      <c r="C14" s="1" t="s">
        <v>0</v>
      </c>
      <c r="D14" s="2">
        <v>651</v>
      </c>
      <c r="E14" s="2">
        <v>577</v>
      </c>
      <c r="F14" s="2">
        <v>74</v>
      </c>
      <c r="G14" s="2"/>
      <c r="H14" s="1"/>
      <c r="I14" s="1"/>
      <c r="J14" s="1"/>
    </row>
    <row r="15" spans="1:17" x14ac:dyDescent="0.3">
      <c r="A15" t="s">
        <v>0</v>
      </c>
      <c r="B15" s="1">
        <v>1998</v>
      </c>
      <c r="C15" s="1" t="s">
        <v>0</v>
      </c>
      <c r="D15" s="2">
        <v>526</v>
      </c>
      <c r="E15" s="2">
        <v>474</v>
      </c>
      <c r="F15" s="2">
        <v>52</v>
      </c>
      <c r="G15" s="2"/>
      <c r="H15" s="1"/>
      <c r="I15" s="1"/>
      <c r="J15" s="1"/>
    </row>
    <row r="16" spans="1:17" x14ac:dyDescent="0.3">
      <c r="A16" t="s">
        <v>0</v>
      </c>
      <c r="B16" s="1">
        <v>1999</v>
      </c>
      <c r="C16" s="1" t="s">
        <v>0</v>
      </c>
      <c r="D16" s="2">
        <v>454</v>
      </c>
      <c r="E16" s="2">
        <v>404</v>
      </c>
      <c r="F16" s="2">
        <v>50</v>
      </c>
      <c r="G16" s="2"/>
      <c r="H16" s="1"/>
      <c r="I16" s="1"/>
      <c r="J16" s="1"/>
    </row>
    <row r="17" spans="1:10" x14ac:dyDescent="0.3">
      <c r="A17" t="s">
        <v>0</v>
      </c>
      <c r="B17" s="1">
        <v>2000</v>
      </c>
      <c r="C17" s="1" t="s">
        <v>0</v>
      </c>
      <c r="D17" s="2">
        <v>433</v>
      </c>
      <c r="E17" s="2">
        <v>387</v>
      </c>
      <c r="F17" s="2">
        <v>46</v>
      </c>
      <c r="G17" s="2"/>
      <c r="H17" s="1"/>
      <c r="I17" s="1"/>
      <c r="J17" s="1"/>
    </row>
    <row r="18" spans="1:10" x14ac:dyDescent="0.3">
      <c r="A18" t="s">
        <v>0</v>
      </c>
      <c r="B18" s="1">
        <v>2001</v>
      </c>
      <c r="C18" s="1" t="s">
        <v>0</v>
      </c>
      <c r="D18" s="2">
        <v>412</v>
      </c>
      <c r="E18" s="2">
        <v>360</v>
      </c>
      <c r="F18" s="2">
        <v>52</v>
      </c>
      <c r="G18" s="2"/>
      <c r="H18" s="1"/>
      <c r="I18" s="1"/>
      <c r="J18" s="1"/>
    </row>
    <row r="19" spans="1:10" x14ac:dyDescent="0.3">
      <c r="A19" t="s">
        <v>0</v>
      </c>
      <c r="B19" s="1">
        <v>2002</v>
      </c>
      <c r="C19" s="1" t="s">
        <v>0</v>
      </c>
      <c r="D19" s="2">
        <v>368</v>
      </c>
      <c r="E19" s="2">
        <v>316</v>
      </c>
      <c r="F19" s="2">
        <v>51</v>
      </c>
      <c r="G19" s="2">
        <v>1</v>
      </c>
      <c r="H19" s="1"/>
      <c r="I19" s="1"/>
      <c r="J19" s="1"/>
    </row>
    <row r="20" spans="1:10" x14ac:dyDescent="0.3">
      <c r="A20" t="s">
        <v>0</v>
      </c>
      <c r="B20" s="1">
        <v>2003</v>
      </c>
      <c r="C20" s="1" t="s">
        <v>0</v>
      </c>
      <c r="D20" s="2">
        <v>407</v>
      </c>
      <c r="E20" s="2">
        <v>356</v>
      </c>
      <c r="F20" s="2">
        <v>51</v>
      </c>
      <c r="G20" s="2"/>
      <c r="H20" s="1"/>
      <c r="I20" s="1"/>
      <c r="J20" s="1"/>
    </row>
    <row r="21" spans="1:10" x14ac:dyDescent="0.3">
      <c r="A21" t="s">
        <v>0</v>
      </c>
      <c r="B21" s="1">
        <v>2004</v>
      </c>
      <c r="C21" s="1" t="s">
        <v>0</v>
      </c>
      <c r="D21" s="2">
        <v>345</v>
      </c>
      <c r="E21" s="2">
        <v>302</v>
      </c>
      <c r="F21" s="2">
        <v>43</v>
      </c>
      <c r="G21" s="2"/>
      <c r="H21" s="1"/>
      <c r="I21" s="1"/>
      <c r="J21" s="1"/>
    </row>
    <row r="22" spans="1:10" x14ac:dyDescent="0.3">
      <c r="A22" t="s">
        <v>0</v>
      </c>
      <c r="B22" s="1">
        <v>2005</v>
      </c>
      <c r="C22" s="1" t="s">
        <v>0</v>
      </c>
      <c r="D22" s="2">
        <v>356</v>
      </c>
      <c r="E22" s="2">
        <v>307</v>
      </c>
      <c r="F22" s="2">
        <v>49</v>
      </c>
      <c r="G22" s="2"/>
      <c r="H22" s="1"/>
      <c r="I22" s="1"/>
      <c r="J22" s="1"/>
    </row>
    <row r="23" spans="1:10" x14ac:dyDescent="0.3">
      <c r="A23" t="s">
        <v>0</v>
      </c>
      <c r="B23" s="1">
        <v>2006</v>
      </c>
      <c r="C23" s="1" t="s">
        <v>0</v>
      </c>
      <c r="D23" s="2">
        <v>368</v>
      </c>
      <c r="E23" s="2">
        <v>320</v>
      </c>
      <c r="F23" s="2">
        <v>48</v>
      </c>
      <c r="G23" s="2"/>
      <c r="H23" s="1"/>
      <c r="I23" s="1"/>
      <c r="J23" s="1"/>
    </row>
    <row r="24" spans="1:10" x14ac:dyDescent="0.3">
      <c r="A24" t="s">
        <v>0</v>
      </c>
      <c r="B24" s="1">
        <v>2007</v>
      </c>
      <c r="C24" s="1" t="s">
        <v>0</v>
      </c>
      <c r="D24" s="2">
        <v>375</v>
      </c>
      <c r="E24" s="2">
        <v>328</v>
      </c>
      <c r="F24" s="2">
        <v>47</v>
      </c>
      <c r="G24" s="2"/>
      <c r="H24" s="1"/>
      <c r="I24" s="1"/>
      <c r="J24" s="1"/>
    </row>
    <row r="25" spans="1:10" x14ac:dyDescent="0.3">
      <c r="A25" t="s">
        <v>0</v>
      </c>
      <c r="B25" s="1">
        <v>2008</v>
      </c>
      <c r="C25" s="1" t="s">
        <v>0</v>
      </c>
      <c r="D25" s="2">
        <v>377</v>
      </c>
      <c r="E25" s="2">
        <v>316</v>
      </c>
      <c r="F25" s="2">
        <v>61</v>
      </c>
      <c r="G25" s="2"/>
      <c r="H25" s="1"/>
      <c r="I25" s="1"/>
      <c r="J25" s="1"/>
    </row>
    <row r="26" spans="1:10" x14ac:dyDescent="0.3">
      <c r="A26" t="s">
        <v>0</v>
      </c>
      <c r="B26" s="1">
        <v>2009</v>
      </c>
      <c r="C26" s="1" t="s">
        <v>0</v>
      </c>
      <c r="D26" s="2">
        <v>713</v>
      </c>
      <c r="E26" s="2">
        <v>605</v>
      </c>
      <c r="F26" s="2">
        <v>107</v>
      </c>
      <c r="G26" s="2">
        <v>1</v>
      </c>
      <c r="H26" s="1"/>
      <c r="I26" s="1"/>
      <c r="J26" s="1"/>
    </row>
    <row r="27" spans="1:10" x14ac:dyDescent="0.3">
      <c r="A27" t="s">
        <v>0</v>
      </c>
      <c r="B27" s="1">
        <v>2010</v>
      </c>
      <c r="C27" s="1" t="s">
        <v>0</v>
      </c>
      <c r="D27" s="2">
        <v>497</v>
      </c>
      <c r="E27" s="2">
        <v>431</v>
      </c>
      <c r="F27" s="2">
        <v>65</v>
      </c>
      <c r="G27" s="2">
        <v>1</v>
      </c>
      <c r="H27" s="1"/>
      <c r="I27" s="1"/>
      <c r="J27" s="1"/>
    </row>
    <row r="28" spans="1:10" x14ac:dyDescent="0.3">
      <c r="A28" t="s">
        <v>0</v>
      </c>
      <c r="B28" s="1">
        <v>2011</v>
      </c>
      <c r="C28" s="1" t="s">
        <v>0</v>
      </c>
      <c r="D28" s="2">
        <v>1011</v>
      </c>
      <c r="E28" s="2">
        <v>860</v>
      </c>
      <c r="F28" s="2">
        <v>145</v>
      </c>
      <c r="G28" s="2">
        <v>6</v>
      </c>
      <c r="H28" s="1"/>
      <c r="I28" s="1"/>
      <c r="J28" s="1"/>
    </row>
    <row r="29" spans="1:10" x14ac:dyDescent="0.3">
      <c r="A29" t="s">
        <v>0</v>
      </c>
      <c r="B29" s="1">
        <v>2012</v>
      </c>
      <c r="C29" s="1" t="s">
        <v>0</v>
      </c>
      <c r="D29" s="2">
        <v>1028</v>
      </c>
      <c r="E29" s="2">
        <v>876</v>
      </c>
      <c r="F29" s="2">
        <v>139</v>
      </c>
      <c r="G29" s="2">
        <v>13</v>
      </c>
      <c r="H29" s="1"/>
      <c r="I29" s="1"/>
      <c r="J29" s="1"/>
    </row>
    <row r="30" spans="1:10" x14ac:dyDescent="0.3">
      <c r="A30" t="s">
        <v>0</v>
      </c>
      <c r="B30" s="1">
        <v>2013</v>
      </c>
      <c r="C30" s="1" t="s">
        <v>0</v>
      </c>
      <c r="D30" s="2">
        <v>794</v>
      </c>
      <c r="E30" s="2">
        <v>690</v>
      </c>
      <c r="F30" s="2">
        <v>100</v>
      </c>
      <c r="G30" s="2">
        <v>4</v>
      </c>
      <c r="H30" s="1"/>
      <c r="I30" s="1"/>
      <c r="J30" s="1"/>
    </row>
    <row r="31" spans="1:10" x14ac:dyDescent="0.3">
      <c r="A31" t="s">
        <v>0</v>
      </c>
      <c r="B31" s="1">
        <v>2014</v>
      </c>
      <c r="C31" s="1" t="s">
        <v>0</v>
      </c>
      <c r="D31" s="2">
        <v>923</v>
      </c>
      <c r="E31" s="2">
        <v>820</v>
      </c>
      <c r="F31" s="2">
        <v>99</v>
      </c>
      <c r="G31" s="2">
        <v>4</v>
      </c>
      <c r="H31" s="1"/>
      <c r="I31" s="1"/>
      <c r="J31" s="1"/>
    </row>
    <row r="32" spans="1:10" x14ac:dyDescent="0.3">
      <c r="A32" t="s">
        <v>0</v>
      </c>
      <c r="B32" s="1">
        <v>2015</v>
      </c>
      <c r="C32" s="1" t="s">
        <v>0</v>
      </c>
      <c r="D32" s="2">
        <v>1041</v>
      </c>
      <c r="E32" s="2">
        <v>926</v>
      </c>
      <c r="F32" s="2">
        <v>113</v>
      </c>
      <c r="G32" s="2">
        <v>2</v>
      </c>
      <c r="H32" s="1"/>
      <c r="I32" s="1"/>
      <c r="J32" s="1"/>
    </row>
    <row r="33" spans="1:10" x14ac:dyDescent="0.3">
      <c r="A33" t="s">
        <v>0</v>
      </c>
      <c r="B33" s="1">
        <v>2016</v>
      </c>
      <c r="C33" s="1" t="s">
        <v>0</v>
      </c>
      <c r="D33" s="2">
        <v>1321</v>
      </c>
      <c r="E33" s="2">
        <v>1166</v>
      </c>
      <c r="F33" s="2">
        <v>150</v>
      </c>
      <c r="G33" s="2">
        <v>5</v>
      </c>
      <c r="H33" s="1"/>
      <c r="I33" s="1"/>
      <c r="J33" s="1"/>
    </row>
    <row r="34" spans="1:10" x14ac:dyDescent="0.3">
      <c r="A34" t="s">
        <v>0</v>
      </c>
      <c r="B34" s="1">
        <v>2017</v>
      </c>
      <c r="C34" s="1" t="s">
        <v>0</v>
      </c>
      <c r="D34" s="2">
        <v>1825</v>
      </c>
      <c r="E34" s="2">
        <v>1615</v>
      </c>
      <c r="F34" s="2">
        <v>210</v>
      </c>
      <c r="G34" s="2"/>
      <c r="H34" s="1"/>
      <c r="I34" s="1"/>
      <c r="J34" s="1"/>
    </row>
    <row r="35" spans="1:10" x14ac:dyDescent="0.3">
      <c r="A35" t="s">
        <v>0</v>
      </c>
      <c r="B35" s="1">
        <v>2018</v>
      </c>
      <c r="C35" s="1" t="s">
        <v>0</v>
      </c>
      <c r="D35" s="2">
        <v>1487</v>
      </c>
      <c r="E35" s="2">
        <v>1344</v>
      </c>
      <c r="F35" s="2">
        <v>143</v>
      </c>
      <c r="G35" s="2"/>
      <c r="H35" s="1"/>
      <c r="I35" s="1"/>
      <c r="J35" s="1"/>
    </row>
    <row r="36" spans="1:10" x14ac:dyDescent="0.3">
      <c r="A36" t="s">
        <v>0</v>
      </c>
      <c r="B36" s="1">
        <v>2019</v>
      </c>
      <c r="C36" s="1" t="s">
        <v>0</v>
      </c>
      <c r="D36" s="2">
        <v>1470</v>
      </c>
      <c r="E36" s="2">
        <v>1303</v>
      </c>
      <c r="F36" s="2">
        <v>167</v>
      </c>
      <c r="G36" s="2"/>
      <c r="H36" s="1"/>
      <c r="I36" s="1"/>
      <c r="J36" s="1"/>
    </row>
    <row r="37" spans="1:10" x14ac:dyDescent="0.3">
      <c r="A37" t="s">
        <v>0</v>
      </c>
      <c r="B37" s="1">
        <v>2020</v>
      </c>
      <c r="C37" s="1" t="s">
        <v>0</v>
      </c>
      <c r="D37" s="2">
        <v>1223</v>
      </c>
      <c r="E37" s="2">
        <v>1080</v>
      </c>
      <c r="F37" s="2">
        <v>143</v>
      </c>
      <c r="G37" s="2"/>
      <c r="H37" s="1"/>
      <c r="I37" s="1"/>
      <c r="J37" s="1"/>
    </row>
    <row r="38" spans="1:10" x14ac:dyDescent="0.3">
      <c r="A38" t="s">
        <v>0</v>
      </c>
      <c r="B38" s="1">
        <v>2021</v>
      </c>
      <c r="C38" s="1" t="s">
        <v>0</v>
      </c>
      <c r="D38" s="2">
        <v>961</v>
      </c>
      <c r="E38" s="2">
        <v>850</v>
      </c>
      <c r="F38" s="2">
        <v>111</v>
      </c>
      <c r="G38" s="2"/>
      <c r="H38" s="1"/>
      <c r="I38" s="1"/>
      <c r="J38" s="1"/>
    </row>
    <row r="39" spans="1:10" x14ac:dyDescent="0.3">
      <c r="A39" t="s">
        <v>0</v>
      </c>
      <c r="B39" s="1">
        <v>2022</v>
      </c>
      <c r="C39" s="1" t="s">
        <v>0</v>
      </c>
      <c r="D39" s="1">
        <v>812</v>
      </c>
      <c r="E39" s="1">
        <v>700</v>
      </c>
      <c r="F39" s="1">
        <v>112</v>
      </c>
      <c r="G39" s="1"/>
      <c r="H39" s="1"/>
      <c r="I39" s="1"/>
      <c r="J39" s="1"/>
    </row>
    <row r="40" spans="1:10" x14ac:dyDescent="0.3">
      <c r="A40" t="s">
        <v>0</v>
      </c>
      <c r="B40" s="1">
        <v>2023</v>
      </c>
      <c r="C40" s="1" t="s">
        <v>0</v>
      </c>
      <c r="D40" s="1">
        <v>840</v>
      </c>
      <c r="E40" s="1">
        <v>744</v>
      </c>
      <c r="F40" s="1">
        <v>94</v>
      </c>
      <c r="G40" s="1">
        <v>2</v>
      </c>
      <c r="H40" s="1"/>
      <c r="I40" s="1"/>
      <c r="J40" s="1"/>
    </row>
    <row r="41" spans="1:10" x14ac:dyDescent="0.3">
      <c r="A41" t="s">
        <v>0</v>
      </c>
      <c r="B41" s="1">
        <v>2024</v>
      </c>
      <c r="C41" s="1" t="s">
        <v>0</v>
      </c>
      <c r="D41" s="1">
        <v>869</v>
      </c>
      <c r="E41" s="1">
        <v>759</v>
      </c>
      <c r="F41" s="1">
        <v>110</v>
      </c>
      <c r="G41" s="1"/>
      <c r="H41" s="1"/>
      <c r="I41" s="1"/>
      <c r="J41" s="1"/>
    </row>
    <row r="42" spans="1:10" x14ac:dyDescent="0.3">
      <c r="A42" s="3">
        <v>0</v>
      </c>
      <c r="B42" s="1">
        <v>1990</v>
      </c>
      <c r="C42" s="1" t="s">
        <v>0</v>
      </c>
      <c r="D42" s="1">
        <v>2</v>
      </c>
      <c r="E42" s="1">
        <v>2</v>
      </c>
      <c r="F42" s="1"/>
      <c r="G42" s="1"/>
      <c r="H42" s="1"/>
      <c r="I42" s="1"/>
      <c r="J42" s="1"/>
    </row>
    <row r="43" spans="1:10" x14ac:dyDescent="0.3">
      <c r="A43">
        <v>0</v>
      </c>
      <c r="B43" s="1">
        <v>1991</v>
      </c>
      <c r="C43" s="1" t="s">
        <v>0</v>
      </c>
      <c r="D43" s="1">
        <v>4</v>
      </c>
      <c r="E43" s="1">
        <v>3</v>
      </c>
      <c r="F43" s="1">
        <v>1</v>
      </c>
      <c r="G43" s="1"/>
      <c r="H43" s="1"/>
      <c r="I43" s="1"/>
      <c r="J43" s="1"/>
    </row>
    <row r="44" spans="1:10" x14ac:dyDescent="0.3">
      <c r="A44">
        <v>0</v>
      </c>
      <c r="B44" s="1">
        <v>1992</v>
      </c>
      <c r="C44" s="1" t="s">
        <v>0</v>
      </c>
      <c r="D44" s="1">
        <v>2</v>
      </c>
      <c r="E44" s="1">
        <v>2</v>
      </c>
      <c r="F44" s="1"/>
      <c r="G44" s="1"/>
      <c r="H44" s="1"/>
      <c r="I44" s="1"/>
      <c r="J44" s="1"/>
    </row>
    <row r="45" spans="1:10" x14ac:dyDescent="0.3">
      <c r="A45">
        <v>0</v>
      </c>
      <c r="B45" s="1">
        <v>1993</v>
      </c>
      <c r="C45" s="1" t="s">
        <v>0</v>
      </c>
      <c r="D45" s="1">
        <v>1</v>
      </c>
      <c r="E45" s="1">
        <v>1</v>
      </c>
      <c r="F45" s="1"/>
      <c r="G45" s="1"/>
      <c r="H45" s="1"/>
      <c r="I45" s="1"/>
      <c r="J45" s="1"/>
    </row>
    <row r="46" spans="1:10" x14ac:dyDescent="0.3">
      <c r="A46">
        <v>0</v>
      </c>
      <c r="B46" s="1">
        <v>1994</v>
      </c>
      <c r="C46" s="1" t="s">
        <v>0</v>
      </c>
      <c r="D46" s="1">
        <v>3</v>
      </c>
      <c r="E46" s="1">
        <v>1</v>
      </c>
      <c r="F46" s="1">
        <v>2</v>
      </c>
      <c r="G46" s="1"/>
      <c r="H46" s="1"/>
      <c r="I46" s="1"/>
      <c r="J46" s="1"/>
    </row>
    <row r="47" spans="1:10" x14ac:dyDescent="0.3">
      <c r="A47">
        <v>0</v>
      </c>
      <c r="B47" s="1">
        <v>1996</v>
      </c>
      <c r="C47" s="1" t="s">
        <v>0</v>
      </c>
      <c r="D47" s="1">
        <v>1</v>
      </c>
      <c r="E47" s="1">
        <v>1</v>
      </c>
      <c r="F47" s="1"/>
      <c r="G47" s="1"/>
      <c r="H47" s="1"/>
      <c r="I47" s="1"/>
      <c r="J47" s="1"/>
    </row>
    <row r="48" spans="1:10" x14ac:dyDescent="0.3">
      <c r="A48">
        <v>0</v>
      </c>
      <c r="B48" s="1">
        <v>1997</v>
      </c>
      <c r="C48" s="1" t="s">
        <v>0</v>
      </c>
      <c r="D48" s="1">
        <v>4</v>
      </c>
      <c r="E48" s="1">
        <v>1</v>
      </c>
      <c r="F48" s="1">
        <v>3</v>
      </c>
      <c r="G48" s="1"/>
      <c r="H48" s="1"/>
      <c r="I48" s="1"/>
      <c r="J48" s="1"/>
    </row>
    <row r="49" spans="1:10" x14ac:dyDescent="0.3">
      <c r="A49">
        <v>0</v>
      </c>
      <c r="B49" s="1">
        <v>1999</v>
      </c>
      <c r="C49" s="1" t="s">
        <v>0</v>
      </c>
      <c r="D49" s="1">
        <v>1</v>
      </c>
      <c r="E49" s="1"/>
      <c r="F49" s="1">
        <v>1</v>
      </c>
      <c r="G49" s="1"/>
      <c r="H49" s="1"/>
      <c r="I49" s="1"/>
      <c r="J49" s="1"/>
    </row>
    <row r="50" spans="1:10" x14ac:dyDescent="0.3">
      <c r="A50">
        <v>0</v>
      </c>
      <c r="B50" s="1">
        <v>2000</v>
      </c>
      <c r="C50" s="1" t="s">
        <v>0</v>
      </c>
      <c r="D50" s="1">
        <v>1</v>
      </c>
      <c r="E50" s="1">
        <v>1</v>
      </c>
      <c r="F50" s="1"/>
      <c r="G50" s="1"/>
      <c r="H50" s="1"/>
      <c r="I50" s="1"/>
      <c r="J50" s="1"/>
    </row>
    <row r="51" spans="1:10" x14ac:dyDescent="0.3">
      <c r="A51">
        <v>0</v>
      </c>
      <c r="B51" s="1">
        <v>2002</v>
      </c>
      <c r="C51" s="1" t="s">
        <v>0</v>
      </c>
      <c r="D51" s="1">
        <v>1</v>
      </c>
      <c r="E51" s="1">
        <v>1</v>
      </c>
      <c r="F51" s="1"/>
      <c r="G51" s="1"/>
      <c r="H51" s="1"/>
      <c r="I51" s="1"/>
      <c r="J51" s="1"/>
    </row>
    <row r="52" spans="1:10" x14ac:dyDescent="0.3">
      <c r="A52">
        <v>0</v>
      </c>
      <c r="B52" s="1">
        <v>2003</v>
      </c>
      <c r="C52" s="1" t="s">
        <v>0</v>
      </c>
      <c r="D52" s="1">
        <v>1</v>
      </c>
      <c r="E52" s="1"/>
      <c r="F52" s="1">
        <v>1</v>
      </c>
      <c r="G52" s="1"/>
      <c r="H52" s="1"/>
      <c r="I52" s="1"/>
      <c r="J52" s="1"/>
    </row>
    <row r="53" spans="1:10" x14ac:dyDescent="0.3">
      <c r="A53">
        <v>0</v>
      </c>
      <c r="B53" s="1">
        <v>2004</v>
      </c>
      <c r="C53" s="1" t="s">
        <v>0</v>
      </c>
      <c r="D53" s="1">
        <v>2</v>
      </c>
      <c r="E53" s="1">
        <v>2</v>
      </c>
      <c r="F53" s="1"/>
      <c r="G53" s="1"/>
      <c r="H53" s="1"/>
      <c r="I53" s="1"/>
      <c r="J53" s="1"/>
    </row>
    <row r="54" spans="1:10" x14ac:dyDescent="0.3">
      <c r="A54">
        <v>0</v>
      </c>
      <c r="B54" s="1">
        <v>2006</v>
      </c>
      <c r="C54" s="1" t="s">
        <v>0</v>
      </c>
      <c r="D54" s="1">
        <v>3</v>
      </c>
      <c r="E54" s="1">
        <v>1</v>
      </c>
      <c r="F54" s="1">
        <v>2</v>
      </c>
      <c r="G54" s="1"/>
      <c r="H54" s="1"/>
      <c r="I54" s="1"/>
      <c r="J54" s="1"/>
    </row>
    <row r="55" spans="1:10" x14ac:dyDescent="0.3">
      <c r="A55">
        <v>0</v>
      </c>
      <c r="B55" s="1">
        <v>2007</v>
      </c>
      <c r="C55" s="1" t="s">
        <v>0</v>
      </c>
      <c r="D55" s="1">
        <v>1</v>
      </c>
      <c r="E55" s="1">
        <v>1</v>
      </c>
      <c r="F55" s="1"/>
      <c r="G55" s="1"/>
      <c r="H55" s="1"/>
      <c r="I55" s="1"/>
      <c r="J55" s="1"/>
    </row>
    <row r="56" spans="1:10" x14ac:dyDescent="0.3">
      <c r="A56">
        <v>0</v>
      </c>
      <c r="B56" s="1">
        <v>2008</v>
      </c>
      <c r="C56" s="1" t="s">
        <v>0</v>
      </c>
      <c r="D56" s="1">
        <v>3</v>
      </c>
      <c r="E56" s="1">
        <v>3</v>
      </c>
      <c r="F56" s="1"/>
      <c r="G56" s="1"/>
      <c r="H56" s="1"/>
      <c r="I56" s="1"/>
      <c r="J56" s="1"/>
    </row>
    <row r="57" spans="1:10" x14ac:dyDescent="0.3">
      <c r="A57">
        <v>0</v>
      </c>
      <c r="B57" s="1">
        <v>2009</v>
      </c>
      <c r="C57" s="1" t="s">
        <v>0</v>
      </c>
      <c r="D57" s="1">
        <v>8</v>
      </c>
      <c r="E57" s="1">
        <v>6</v>
      </c>
      <c r="F57" s="1">
        <v>2</v>
      </c>
      <c r="G57" s="1"/>
      <c r="H57" s="1"/>
      <c r="I57" s="1"/>
      <c r="J57" s="1"/>
    </row>
    <row r="58" spans="1:10" x14ac:dyDescent="0.3">
      <c r="A58">
        <v>0</v>
      </c>
      <c r="B58" s="1">
        <v>2010</v>
      </c>
      <c r="C58" s="1" t="s">
        <v>0</v>
      </c>
      <c r="D58" s="1">
        <v>1</v>
      </c>
      <c r="E58" s="1"/>
      <c r="F58" s="1">
        <v>1</v>
      </c>
      <c r="G58" s="1"/>
      <c r="H58" s="1"/>
      <c r="I58" s="1"/>
      <c r="J58" s="1"/>
    </row>
    <row r="59" spans="1:10" x14ac:dyDescent="0.3">
      <c r="A59">
        <v>0</v>
      </c>
      <c r="B59" s="1">
        <v>2011</v>
      </c>
      <c r="C59" s="1" t="s">
        <v>0</v>
      </c>
      <c r="D59" s="1">
        <v>1</v>
      </c>
      <c r="E59" s="1"/>
      <c r="F59" s="1">
        <v>1</v>
      </c>
      <c r="G59" s="1"/>
      <c r="H59" s="1"/>
      <c r="I59" s="1"/>
      <c r="J59" s="1"/>
    </row>
    <row r="60" spans="1:10" x14ac:dyDescent="0.3">
      <c r="A60">
        <v>0</v>
      </c>
      <c r="B60" s="1">
        <v>2012</v>
      </c>
      <c r="C60" s="1" t="s">
        <v>0</v>
      </c>
      <c r="D60" s="1">
        <v>1</v>
      </c>
      <c r="E60" s="1">
        <v>1</v>
      </c>
      <c r="F60" s="1"/>
      <c r="G60" s="1"/>
      <c r="H60" s="1"/>
      <c r="I60" s="1"/>
      <c r="J60" s="1"/>
    </row>
    <row r="61" spans="1:10" x14ac:dyDescent="0.3">
      <c r="A61">
        <v>0</v>
      </c>
      <c r="B61" s="1">
        <v>2013</v>
      </c>
      <c r="C61" s="1" t="s">
        <v>0</v>
      </c>
      <c r="D61" s="1">
        <v>2</v>
      </c>
      <c r="E61" s="1">
        <v>1</v>
      </c>
      <c r="F61" s="1">
        <v>1</v>
      </c>
      <c r="G61" s="1"/>
      <c r="H61" s="1"/>
      <c r="I61" s="1"/>
      <c r="J61" s="1"/>
    </row>
    <row r="62" spans="1:10" x14ac:dyDescent="0.3">
      <c r="A62">
        <v>0</v>
      </c>
      <c r="B62" s="1">
        <v>2015</v>
      </c>
      <c r="C62" s="1" t="s">
        <v>0</v>
      </c>
      <c r="D62" s="1">
        <v>1</v>
      </c>
      <c r="E62" s="1">
        <v>1</v>
      </c>
      <c r="F62" s="1"/>
      <c r="G62" s="1"/>
      <c r="H62" s="1"/>
      <c r="I62" s="1"/>
      <c r="J62" s="1"/>
    </row>
    <row r="63" spans="1:10" x14ac:dyDescent="0.3">
      <c r="A63">
        <v>0</v>
      </c>
      <c r="B63" s="1">
        <v>2016</v>
      </c>
      <c r="C63" s="1" t="s">
        <v>0</v>
      </c>
      <c r="D63" s="1">
        <v>3</v>
      </c>
      <c r="E63" s="1">
        <v>1</v>
      </c>
      <c r="F63" s="1">
        <v>2</v>
      </c>
      <c r="G63" s="1"/>
      <c r="H63" s="1"/>
      <c r="I63" s="1"/>
      <c r="J63" s="1"/>
    </row>
    <row r="64" spans="1:10" x14ac:dyDescent="0.3">
      <c r="A64">
        <v>0</v>
      </c>
      <c r="B64" s="1">
        <v>2017</v>
      </c>
      <c r="C64" s="1" t="s">
        <v>0</v>
      </c>
      <c r="D64" s="1">
        <v>1</v>
      </c>
      <c r="E64" s="1">
        <v>1</v>
      </c>
      <c r="F64" s="1"/>
      <c r="G64" s="1"/>
      <c r="H64" s="1"/>
      <c r="I64" s="1"/>
      <c r="J64" s="1"/>
    </row>
    <row r="65" spans="1:10" x14ac:dyDescent="0.3">
      <c r="A65">
        <v>0</v>
      </c>
      <c r="B65" s="1">
        <v>2018</v>
      </c>
      <c r="C65" s="1" t="s">
        <v>0</v>
      </c>
      <c r="D65" s="1">
        <v>2</v>
      </c>
      <c r="E65" s="1">
        <v>1</v>
      </c>
      <c r="F65" s="1">
        <v>1</v>
      </c>
      <c r="G65" s="1"/>
      <c r="H65" s="1"/>
      <c r="I65" s="1"/>
      <c r="J65" s="1"/>
    </row>
    <row r="66" spans="1:10" x14ac:dyDescent="0.3">
      <c r="A66">
        <v>0</v>
      </c>
      <c r="B66" s="1">
        <v>2019</v>
      </c>
      <c r="C66" s="1" t="s">
        <v>0</v>
      </c>
      <c r="D66" s="1">
        <v>2</v>
      </c>
      <c r="E66" s="1">
        <v>2</v>
      </c>
      <c r="F66" s="1"/>
      <c r="G66" s="1"/>
      <c r="H66" s="1"/>
      <c r="I66" s="1"/>
      <c r="J66" s="1"/>
    </row>
    <row r="67" spans="1:10" x14ac:dyDescent="0.3">
      <c r="A67">
        <v>0</v>
      </c>
      <c r="B67" s="1">
        <v>2020</v>
      </c>
      <c r="C67" s="1" t="s">
        <v>0</v>
      </c>
      <c r="D67" s="1">
        <v>1</v>
      </c>
      <c r="E67" s="1"/>
      <c r="F67" s="1">
        <v>1</v>
      </c>
      <c r="G67" s="1"/>
      <c r="H67" s="1"/>
      <c r="I67" s="1"/>
      <c r="J67" s="1"/>
    </row>
    <row r="68" spans="1:10" x14ac:dyDescent="0.3">
      <c r="A68">
        <v>0</v>
      </c>
      <c r="B68" s="1">
        <v>2021</v>
      </c>
      <c r="C68" s="1" t="s">
        <v>0</v>
      </c>
      <c r="D68" s="1">
        <v>1</v>
      </c>
      <c r="E68" s="1"/>
      <c r="F68" s="1">
        <v>1</v>
      </c>
      <c r="G68" s="1"/>
      <c r="H68" s="1"/>
      <c r="I68" s="1"/>
      <c r="J68" s="1"/>
    </row>
    <row r="69" spans="1:10" x14ac:dyDescent="0.3">
      <c r="A69" s="3">
        <v>1</v>
      </c>
      <c r="B69" s="1">
        <v>1990</v>
      </c>
      <c r="C69" s="1" t="s">
        <v>0</v>
      </c>
      <c r="D69" s="1">
        <v>3</v>
      </c>
      <c r="E69" s="1">
        <v>1</v>
      </c>
      <c r="F69" s="1">
        <v>2</v>
      </c>
      <c r="G69" s="1"/>
      <c r="H69" s="1"/>
      <c r="I69" s="1"/>
      <c r="J69" s="1"/>
    </row>
    <row r="70" spans="1:10" x14ac:dyDescent="0.3">
      <c r="A70">
        <v>1</v>
      </c>
      <c r="B70" s="1">
        <v>1991</v>
      </c>
      <c r="C70" s="1" t="s">
        <v>0</v>
      </c>
      <c r="D70" s="1">
        <v>7</v>
      </c>
      <c r="E70" s="1">
        <v>5</v>
      </c>
      <c r="F70" s="1">
        <v>2</v>
      </c>
      <c r="G70" s="1"/>
      <c r="H70" s="1"/>
      <c r="I70" s="1"/>
      <c r="J70" s="1"/>
    </row>
    <row r="71" spans="1:10" x14ac:dyDescent="0.3">
      <c r="A71">
        <v>1</v>
      </c>
      <c r="B71" s="1">
        <v>1992</v>
      </c>
      <c r="C71" s="1" t="s">
        <v>0</v>
      </c>
      <c r="D71" s="1">
        <v>5</v>
      </c>
      <c r="E71" s="1">
        <v>3</v>
      </c>
      <c r="F71" s="1">
        <v>2</v>
      </c>
      <c r="G71" s="1"/>
      <c r="H71" s="1"/>
      <c r="I71" s="1"/>
      <c r="J71" s="1"/>
    </row>
    <row r="72" spans="1:10" x14ac:dyDescent="0.3">
      <c r="A72">
        <v>1</v>
      </c>
      <c r="B72" s="1">
        <v>1993</v>
      </c>
      <c r="C72" s="1" t="s">
        <v>0</v>
      </c>
      <c r="D72" s="1">
        <v>2</v>
      </c>
      <c r="E72" s="1"/>
      <c r="F72" s="1">
        <v>2</v>
      </c>
      <c r="G72" s="1"/>
      <c r="H72" s="1"/>
      <c r="I72" s="1"/>
      <c r="J72" s="1"/>
    </row>
    <row r="73" spans="1:10" x14ac:dyDescent="0.3">
      <c r="A73">
        <v>1</v>
      </c>
      <c r="B73" s="1">
        <v>1995</v>
      </c>
      <c r="C73" s="1" t="s">
        <v>0</v>
      </c>
      <c r="D73" s="1">
        <v>1</v>
      </c>
      <c r="E73" s="1"/>
      <c r="F73" s="1">
        <v>1</v>
      </c>
      <c r="G73" s="1"/>
      <c r="H73" s="1"/>
      <c r="I73" s="1"/>
      <c r="J73" s="1"/>
    </row>
    <row r="74" spans="1:10" x14ac:dyDescent="0.3">
      <c r="A74">
        <v>1</v>
      </c>
      <c r="B74" s="1">
        <v>1996</v>
      </c>
      <c r="C74" s="1" t="s">
        <v>0</v>
      </c>
      <c r="D74" s="1">
        <v>3</v>
      </c>
      <c r="E74" s="1">
        <v>1</v>
      </c>
      <c r="F74" s="1">
        <v>2</v>
      </c>
      <c r="G74" s="1"/>
      <c r="H74" s="1"/>
      <c r="I74" s="1"/>
      <c r="J74" s="1"/>
    </row>
    <row r="75" spans="1:10" x14ac:dyDescent="0.3">
      <c r="A75">
        <v>1</v>
      </c>
      <c r="B75" s="1">
        <v>1997</v>
      </c>
      <c r="C75" s="1" t="s">
        <v>0</v>
      </c>
      <c r="D75" s="1">
        <v>3</v>
      </c>
      <c r="E75" s="1">
        <v>2</v>
      </c>
      <c r="F75" s="1">
        <v>1</v>
      </c>
      <c r="G75" s="1"/>
      <c r="H75" s="1"/>
      <c r="I75" s="1"/>
      <c r="J75" s="1"/>
    </row>
    <row r="76" spans="1:10" x14ac:dyDescent="0.3">
      <c r="A76">
        <v>1</v>
      </c>
      <c r="B76" s="1">
        <v>1998</v>
      </c>
      <c r="C76" s="1" t="s">
        <v>0</v>
      </c>
      <c r="D76" s="1">
        <v>2</v>
      </c>
      <c r="E76" s="1">
        <v>1</v>
      </c>
      <c r="F76" s="1">
        <v>1</v>
      </c>
      <c r="G76" s="1"/>
      <c r="H76" s="1"/>
      <c r="I76" s="1"/>
      <c r="J76" s="1"/>
    </row>
    <row r="77" spans="1:10" x14ac:dyDescent="0.3">
      <c r="A77">
        <v>1</v>
      </c>
      <c r="B77" s="1">
        <v>1999</v>
      </c>
      <c r="C77" s="1" t="s">
        <v>0</v>
      </c>
      <c r="D77" s="1">
        <v>3</v>
      </c>
      <c r="E77" s="1">
        <v>3</v>
      </c>
      <c r="F77" s="1"/>
      <c r="G77" s="1"/>
      <c r="H77" s="1"/>
      <c r="I77" s="1"/>
      <c r="J77" s="1"/>
    </row>
    <row r="78" spans="1:10" x14ac:dyDescent="0.3">
      <c r="A78">
        <v>1</v>
      </c>
      <c r="B78" s="1">
        <v>2000</v>
      </c>
      <c r="C78" s="1" t="s">
        <v>0</v>
      </c>
      <c r="D78" s="1">
        <v>4</v>
      </c>
      <c r="E78" s="1">
        <v>4</v>
      </c>
      <c r="F78" s="1"/>
      <c r="G78" s="1"/>
      <c r="H78" s="1"/>
      <c r="I78" s="1"/>
      <c r="J78" s="1"/>
    </row>
    <row r="79" spans="1:10" x14ac:dyDescent="0.3">
      <c r="A79">
        <v>1</v>
      </c>
      <c r="B79" s="1">
        <v>2001</v>
      </c>
      <c r="C79" s="1" t="s">
        <v>0</v>
      </c>
      <c r="D79" s="1">
        <v>2</v>
      </c>
      <c r="E79" s="1">
        <v>1</v>
      </c>
      <c r="F79" s="1">
        <v>1</v>
      </c>
      <c r="G79" s="1"/>
      <c r="H79" s="1"/>
      <c r="I79" s="1"/>
      <c r="J79" s="1"/>
    </row>
    <row r="80" spans="1:10" x14ac:dyDescent="0.3">
      <c r="A80">
        <v>1</v>
      </c>
      <c r="B80" s="1">
        <v>2002</v>
      </c>
      <c r="C80" s="1" t="s">
        <v>0</v>
      </c>
      <c r="D80" s="1">
        <v>3</v>
      </c>
      <c r="E80" s="1">
        <v>2</v>
      </c>
      <c r="F80" s="1">
        <v>1</v>
      </c>
      <c r="G80" s="1"/>
      <c r="H80" s="1"/>
      <c r="I80" s="1"/>
      <c r="J80" s="1"/>
    </row>
    <row r="81" spans="1:10" x14ac:dyDescent="0.3">
      <c r="A81">
        <v>1</v>
      </c>
      <c r="B81" s="1">
        <v>2003</v>
      </c>
      <c r="C81" s="1" t="s">
        <v>0</v>
      </c>
      <c r="D81" s="1">
        <v>3</v>
      </c>
      <c r="E81" s="1"/>
      <c r="F81" s="1">
        <v>3</v>
      </c>
      <c r="G81" s="1"/>
      <c r="H81" s="1"/>
      <c r="I81" s="1"/>
      <c r="J81" s="1"/>
    </row>
    <row r="82" spans="1:10" x14ac:dyDescent="0.3">
      <c r="A82">
        <v>1</v>
      </c>
      <c r="B82" s="1">
        <v>2005</v>
      </c>
      <c r="C82" s="1" t="s">
        <v>0</v>
      </c>
      <c r="D82" s="1">
        <v>4</v>
      </c>
      <c r="E82" s="1">
        <v>3</v>
      </c>
      <c r="F82" s="1">
        <v>1</v>
      </c>
      <c r="G82" s="1"/>
      <c r="H82" s="1"/>
      <c r="I82" s="1"/>
      <c r="J82" s="1"/>
    </row>
    <row r="83" spans="1:10" x14ac:dyDescent="0.3">
      <c r="A83">
        <v>1</v>
      </c>
      <c r="B83" s="1">
        <v>2006</v>
      </c>
      <c r="C83" s="1" t="s">
        <v>0</v>
      </c>
      <c r="D83" s="1">
        <v>1</v>
      </c>
      <c r="E83" s="1"/>
      <c r="F83" s="1">
        <v>1</v>
      </c>
      <c r="G83" s="1"/>
      <c r="H83" s="1"/>
      <c r="I83" s="1"/>
      <c r="J83" s="1"/>
    </row>
    <row r="84" spans="1:10" x14ac:dyDescent="0.3">
      <c r="A84">
        <v>1</v>
      </c>
      <c r="B84" s="1">
        <v>2007</v>
      </c>
      <c r="C84" s="1" t="s">
        <v>0</v>
      </c>
      <c r="D84" s="1">
        <v>2</v>
      </c>
      <c r="E84" s="1"/>
      <c r="F84" s="1">
        <v>2</v>
      </c>
      <c r="G84" s="1"/>
      <c r="H84" s="1"/>
      <c r="I84" s="1"/>
      <c r="J84" s="1"/>
    </row>
    <row r="85" spans="1:10" x14ac:dyDescent="0.3">
      <c r="A85">
        <v>1</v>
      </c>
      <c r="B85" s="1">
        <v>2008</v>
      </c>
      <c r="C85" s="1" t="s">
        <v>0</v>
      </c>
      <c r="D85" s="1">
        <v>2</v>
      </c>
      <c r="E85" s="1">
        <v>1</v>
      </c>
      <c r="F85" s="1">
        <v>1</v>
      </c>
      <c r="G85" s="1"/>
      <c r="H85" s="1"/>
      <c r="I85" s="1"/>
      <c r="J85" s="1"/>
    </row>
    <row r="86" spans="1:10" x14ac:dyDescent="0.3">
      <c r="A86">
        <v>1</v>
      </c>
      <c r="B86" s="1">
        <v>2009</v>
      </c>
      <c r="C86" s="1" t="s">
        <v>0</v>
      </c>
      <c r="D86" s="1">
        <v>15</v>
      </c>
      <c r="E86" s="1">
        <v>7</v>
      </c>
      <c r="F86" s="1">
        <v>8</v>
      </c>
      <c r="G86" s="1"/>
      <c r="H86" s="1"/>
      <c r="I86" s="1"/>
      <c r="J86" s="1"/>
    </row>
    <row r="87" spans="1:10" x14ac:dyDescent="0.3">
      <c r="A87">
        <v>1</v>
      </c>
      <c r="B87" s="1">
        <v>2010</v>
      </c>
      <c r="C87" s="1" t="s">
        <v>0</v>
      </c>
      <c r="D87" s="1">
        <v>1</v>
      </c>
      <c r="E87" s="1">
        <v>1</v>
      </c>
      <c r="F87" s="1"/>
      <c r="G87" s="1"/>
      <c r="H87" s="1"/>
      <c r="I87" s="1"/>
      <c r="J87" s="1"/>
    </row>
    <row r="88" spans="1:10" x14ac:dyDescent="0.3">
      <c r="A88">
        <v>1</v>
      </c>
      <c r="B88" s="1">
        <v>2011</v>
      </c>
      <c r="C88" s="1" t="s">
        <v>0</v>
      </c>
      <c r="D88" s="1">
        <v>3</v>
      </c>
      <c r="E88" s="1">
        <v>3</v>
      </c>
      <c r="F88" s="1"/>
      <c r="G88" s="1"/>
      <c r="H88" s="1"/>
      <c r="I88" s="1"/>
      <c r="J88" s="1"/>
    </row>
    <row r="89" spans="1:10" x14ac:dyDescent="0.3">
      <c r="A89">
        <v>1</v>
      </c>
      <c r="B89" s="1">
        <v>2012</v>
      </c>
      <c r="C89" s="1" t="s">
        <v>0</v>
      </c>
      <c r="D89" s="1">
        <v>4</v>
      </c>
      <c r="E89" s="1">
        <v>3</v>
      </c>
      <c r="F89" s="1">
        <v>1</v>
      </c>
      <c r="G89" s="1"/>
      <c r="H89" s="1"/>
      <c r="I89" s="1"/>
      <c r="J89" s="1"/>
    </row>
    <row r="90" spans="1:10" x14ac:dyDescent="0.3">
      <c r="A90">
        <v>1</v>
      </c>
      <c r="B90" s="1">
        <v>2013</v>
      </c>
      <c r="C90" s="1" t="s">
        <v>0</v>
      </c>
      <c r="D90" s="1">
        <v>4</v>
      </c>
      <c r="E90" s="1">
        <v>3</v>
      </c>
      <c r="F90" s="1">
        <v>1</v>
      </c>
      <c r="G90" s="1"/>
      <c r="H90" s="1"/>
      <c r="I90" s="1"/>
      <c r="J90" s="1"/>
    </row>
    <row r="91" spans="1:10" x14ac:dyDescent="0.3">
      <c r="A91">
        <v>1</v>
      </c>
      <c r="B91" s="1">
        <v>2014</v>
      </c>
      <c r="C91" s="1" t="s">
        <v>0</v>
      </c>
      <c r="D91" s="1">
        <v>1</v>
      </c>
      <c r="E91" s="1"/>
      <c r="F91" s="1">
        <v>1</v>
      </c>
      <c r="G91" s="1"/>
      <c r="H91" s="1"/>
      <c r="I91" s="1"/>
      <c r="J91" s="1"/>
    </row>
    <row r="92" spans="1:10" x14ac:dyDescent="0.3">
      <c r="A92">
        <v>1</v>
      </c>
      <c r="B92" s="1">
        <v>2015</v>
      </c>
      <c r="C92" s="1" t="s">
        <v>0</v>
      </c>
      <c r="D92" s="1">
        <v>1</v>
      </c>
      <c r="E92" s="1"/>
      <c r="F92" s="1">
        <v>1</v>
      </c>
      <c r="G92" s="1"/>
      <c r="H92" s="1"/>
      <c r="I92" s="1"/>
      <c r="J92" s="1"/>
    </row>
    <row r="93" spans="1:10" x14ac:dyDescent="0.3">
      <c r="A93">
        <v>1</v>
      </c>
      <c r="B93" s="1">
        <v>2017</v>
      </c>
      <c r="C93" s="1" t="s">
        <v>0</v>
      </c>
      <c r="D93" s="1">
        <v>2</v>
      </c>
      <c r="E93" s="1"/>
      <c r="F93" s="1">
        <v>2</v>
      </c>
      <c r="G93" s="1"/>
      <c r="H93" s="1"/>
      <c r="I93" s="1"/>
      <c r="J93" s="1"/>
    </row>
    <row r="94" spans="1:10" x14ac:dyDescent="0.3">
      <c r="A94">
        <v>1</v>
      </c>
      <c r="B94" s="1">
        <v>2018</v>
      </c>
      <c r="C94" s="1" t="s">
        <v>0</v>
      </c>
      <c r="D94" s="1">
        <v>2</v>
      </c>
      <c r="E94" s="1">
        <v>1</v>
      </c>
      <c r="F94" s="1">
        <v>1</v>
      </c>
      <c r="G94" s="1"/>
      <c r="H94" s="1"/>
      <c r="I94" s="1"/>
      <c r="J94" s="1"/>
    </row>
    <row r="95" spans="1:10" x14ac:dyDescent="0.3">
      <c r="A95">
        <v>1</v>
      </c>
      <c r="B95" s="1">
        <v>2019</v>
      </c>
      <c r="C95" s="1" t="s">
        <v>0</v>
      </c>
      <c r="D95" s="1">
        <v>4</v>
      </c>
      <c r="E95" s="1">
        <v>4</v>
      </c>
      <c r="F95" s="1"/>
      <c r="G95" s="1"/>
      <c r="H95" s="1"/>
      <c r="I95" s="1"/>
      <c r="J95" s="1"/>
    </row>
    <row r="96" spans="1:10" x14ac:dyDescent="0.3">
      <c r="A96">
        <v>1</v>
      </c>
      <c r="B96" s="1">
        <v>2020</v>
      </c>
      <c r="C96" s="1" t="s">
        <v>0</v>
      </c>
      <c r="D96" s="1">
        <v>1</v>
      </c>
      <c r="E96" s="1">
        <v>1</v>
      </c>
      <c r="F96" s="1"/>
      <c r="G96" s="1"/>
      <c r="H96" s="1"/>
      <c r="I96" s="1"/>
      <c r="J96" s="1"/>
    </row>
    <row r="97" spans="1:10" x14ac:dyDescent="0.3">
      <c r="A97">
        <v>1</v>
      </c>
      <c r="B97" s="1">
        <v>2021</v>
      </c>
      <c r="C97" s="1" t="s">
        <v>0</v>
      </c>
      <c r="D97" s="1">
        <v>2</v>
      </c>
      <c r="E97" s="1">
        <v>2</v>
      </c>
      <c r="F97" s="1"/>
      <c r="G97" s="1"/>
      <c r="H97" s="1"/>
      <c r="I97" s="1"/>
      <c r="J97" s="1"/>
    </row>
    <row r="98" spans="1:10" x14ac:dyDescent="0.3">
      <c r="A98">
        <v>1</v>
      </c>
      <c r="B98" s="1">
        <v>2022</v>
      </c>
      <c r="C98" s="1" t="s">
        <v>0</v>
      </c>
      <c r="D98" s="1">
        <v>3</v>
      </c>
      <c r="E98" s="1">
        <v>2</v>
      </c>
      <c r="F98" s="1">
        <v>1</v>
      </c>
      <c r="G98" s="1"/>
      <c r="H98" s="1"/>
      <c r="I98" s="1"/>
      <c r="J98" s="1"/>
    </row>
    <row r="99" spans="1:10" x14ac:dyDescent="0.3">
      <c r="A99">
        <v>1</v>
      </c>
      <c r="B99" s="1">
        <v>2023</v>
      </c>
      <c r="C99" s="1" t="s">
        <v>0</v>
      </c>
      <c r="D99" s="1">
        <v>3</v>
      </c>
      <c r="E99" s="1">
        <v>3</v>
      </c>
      <c r="F99" s="1"/>
      <c r="G99" s="1"/>
      <c r="H99" s="1"/>
      <c r="I99" s="1"/>
      <c r="J99" s="1"/>
    </row>
    <row r="100" spans="1:10" x14ac:dyDescent="0.3">
      <c r="A100">
        <v>1</v>
      </c>
      <c r="B100" s="1">
        <v>2024</v>
      </c>
      <c r="C100" s="1" t="s">
        <v>0</v>
      </c>
      <c r="D100" s="1">
        <v>1</v>
      </c>
      <c r="E100" s="1"/>
      <c r="F100" s="1">
        <v>1</v>
      </c>
      <c r="G100" s="1"/>
      <c r="H100" s="1"/>
      <c r="I100" s="1"/>
      <c r="J100" s="1"/>
    </row>
    <row r="101" spans="1:10" x14ac:dyDescent="0.3">
      <c r="A101" s="3">
        <v>5</v>
      </c>
      <c r="B101" s="1">
        <v>1990</v>
      </c>
      <c r="C101" s="1" t="s">
        <v>0</v>
      </c>
      <c r="D101" s="1">
        <v>10</v>
      </c>
      <c r="E101" s="1">
        <v>9</v>
      </c>
      <c r="F101" s="1">
        <v>1</v>
      </c>
      <c r="G101" s="1"/>
      <c r="H101" s="1"/>
      <c r="I101" s="1"/>
      <c r="J101" s="1"/>
    </row>
    <row r="102" spans="1:10" x14ac:dyDescent="0.3">
      <c r="A102">
        <v>5</v>
      </c>
      <c r="B102" s="1">
        <v>1991</v>
      </c>
      <c r="C102" s="1" t="s">
        <v>0</v>
      </c>
      <c r="D102" s="1">
        <v>4</v>
      </c>
      <c r="E102" s="1">
        <v>3</v>
      </c>
      <c r="F102" s="1">
        <v>1</v>
      </c>
      <c r="G102" s="1"/>
      <c r="H102" s="1"/>
      <c r="I102" s="1"/>
      <c r="J102" s="1"/>
    </row>
    <row r="103" spans="1:10" x14ac:dyDescent="0.3">
      <c r="A103">
        <v>5</v>
      </c>
      <c r="B103" s="1">
        <v>1992</v>
      </c>
      <c r="C103" s="1" t="s">
        <v>0</v>
      </c>
      <c r="D103" s="1">
        <v>7</v>
      </c>
      <c r="E103" s="1">
        <v>6</v>
      </c>
      <c r="F103" s="1">
        <v>1</v>
      </c>
      <c r="G103" s="1"/>
      <c r="H103" s="1"/>
      <c r="I103" s="1"/>
      <c r="J103" s="1"/>
    </row>
    <row r="104" spans="1:10" x14ac:dyDescent="0.3">
      <c r="A104">
        <v>5</v>
      </c>
      <c r="B104" s="1">
        <v>1993</v>
      </c>
      <c r="C104" s="1" t="s">
        <v>0</v>
      </c>
      <c r="D104" s="1">
        <v>5</v>
      </c>
      <c r="E104" s="1">
        <v>2</v>
      </c>
      <c r="F104" s="1">
        <v>3</v>
      </c>
      <c r="G104" s="1"/>
      <c r="H104" s="1"/>
      <c r="I104" s="1"/>
      <c r="J104" s="1"/>
    </row>
    <row r="105" spans="1:10" x14ac:dyDescent="0.3">
      <c r="A105">
        <v>5</v>
      </c>
      <c r="B105" s="1">
        <v>1994</v>
      </c>
      <c r="C105" s="1" t="s">
        <v>0</v>
      </c>
      <c r="D105" s="1">
        <v>3</v>
      </c>
      <c r="E105" s="1">
        <v>1</v>
      </c>
      <c r="F105" s="1">
        <v>2</v>
      </c>
      <c r="G105" s="1"/>
      <c r="H105" s="1"/>
      <c r="I105" s="1"/>
      <c r="J105" s="1"/>
    </row>
    <row r="106" spans="1:10" x14ac:dyDescent="0.3">
      <c r="A106">
        <v>5</v>
      </c>
      <c r="B106" s="1">
        <v>1995</v>
      </c>
      <c r="C106" s="1" t="s">
        <v>0</v>
      </c>
      <c r="D106" s="1">
        <v>2</v>
      </c>
      <c r="E106" s="1">
        <v>1</v>
      </c>
      <c r="F106" s="1">
        <v>1</v>
      </c>
      <c r="G106" s="1"/>
      <c r="H106" s="1"/>
      <c r="I106" s="1"/>
      <c r="J106" s="1"/>
    </row>
    <row r="107" spans="1:10" x14ac:dyDescent="0.3">
      <c r="A107">
        <v>5</v>
      </c>
      <c r="B107" s="1">
        <v>1997</v>
      </c>
      <c r="C107" s="1" t="s">
        <v>0</v>
      </c>
      <c r="D107" s="1">
        <v>4</v>
      </c>
      <c r="E107" s="1">
        <v>3</v>
      </c>
      <c r="F107" s="1">
        <v>1</v>
      </c>
      <c r="G107" s="1"/>
      <c r="H107" s="1"/>
      <c r="I107" s="1"/>
      <c r="J107" s="1"/>
    </row>
    <row r="108" spans="1:10" x14ac:dyDescent="0.3">
      <c r="A108">
        <v>5</v>
      </c>
      <c r="B108" s="1">
        <v>1998</v>
      </c>
      <c r="C108" s="1" t="s">
        <v>0</v>
      </c>
      <c r="D108" s="1">
        <v>4</v>
      </c>
      <c r="E108" s="1">
        <v>3</v>
      </c>
      <c r="F108" s="1">
        <v>1</v>
      </c>
      <c r="G108" s="1"/>
      <c r="H108" s="1"/>
      <c r="I108" s="1"/>
      <c r="J108" s="1"/>
    </row>
    <row r="109" spans="1:10" x14ac:dyDescent="0.3">
      <c r="A109">
        <v>5</v>
      </c>
      <c r="B109" s="1">
        <v>1999</v>
      </c>
      <c r="C109" s="1" t="s">
        <v>0</v>
      </c>
      <c r="D109" s="1">
        <v>4</v>
      </c>
      <c r="E109" s="1">
        <v>1</v>
      </c>
      <c r="F109" s="1">
        <v>3</v>
      </c>
      <c r="G109" s="1"/>
      <c r="H109" s="1"/>
      <c r="I109" s="1"/>
      <c r="J109" s="1"/>
    </row>
    <row r="110" spans="1:10" x14ac:dyDescent="0.3">
      <c r="A110">
        <v>5</v>
      </c>
      <c r="B110" s="1">
        <v>2000</v>
      </c>
      <c r="C110" s="1" t="s">
        <v>0</v>
      </c>
      <c r="D110" s="1">
        <v>5</v>
      </c>
      <c r="E110" s="1">
        <v>2</v>
      </c>
      <c r="F110" s="1">
        <v>3</v>
      </c>
      <c r="G110" s="1"/>
      <c r="H110" s="1"/>
      <c r="I110" s="1"/>
      <c r="J110" s="1"/>
    </row>
    <row r="111" spans="1:10" x14ac:dyDescent="0.3">
      <c r="A111">
        <v>5</v>
      </c>
      <c r="B111" s="1">
        <v>2001</v>
      </c>
      <c r="C111" s="1" t="s">
        <v>0</v>
      </c>
      <c r="D111" s="1">
        <v>4</v>
      </c>
      <c r="E111" s="1">
        <v>2</v>
      </c>
      <c r="F111" s="1">
        <v>2</v>
      </c>
      <c r="G111" s="1"/>
      <c r="H111" s="1"/>
      <c r="I111" s="1"/>
      <c r="J111" s="1"/>
    </row>
    <row r="112" spans="1:10" x14ac:dyDescent="0.3">
      <c r="A112">
        <v>5</v>
      </c>
      <c r="B112" s="1">
        <v>2002</v>
      </c>
      <c r="C112" s="1" t="s">
        <v>0</v>
      </c>
      <c r="D112" s="1">
        <v>3</v>
      </c>
      <c r="E112" s="1">
        <v>2</v>
      </c>
      <c r="F112" s="1">
        <v>1</v>
      </c>
      <c r="G112" s="1"/>
      <c r="H112" s="1"/>
      <c r="I112" s="1"/>
      <c r="J112" s="1"/>
    </row>
    <row r="113" spans="1:10" x14ac:dyDescent="0.3">
      <c r="A113">
        <v>5</v>
      </c>
      <c r="B113" s="1">
        <v>2004</v>
      </c>
      <c r="C113" s="1" t="s">
        <v>0</v>
      </c>
      <c r="D113" s="1">
        <v>6</v>
      </c>
      <c r="E113" s="1">
        <v>2</v>
      </c>
      <c r="F113" s="1">
        <v>4</v>
      </c>
      <c r="G113" s="1"/>
      <c r="H113" s="1"/>
      <c r="I113" s="1"/>
      <c r="J113" s="1"/>
    </row>
    <row r="114" spans="1:10" x14ac:dyDescent="0.3">
      <c r="A114">
        <v>5</v>
      </c>
      <c r="B114" s="1">
        <v>2005</v>
      </c>
      <c r="C114" s="1" t="s">
        <v>0</v>
      </c>
      <c r="D114" s="1">
        <v>2</v>
      </c>
      <c r="E114" s="1">
        <v>2</v>
      </c>
      <c r="F114" s="1"/>
      <c r="G114" s="1"/>
      <c r="H114" s="1"/>
      <c r="I114" s="1"/>
      <c r="J114" s="1"/>
    </row>
    <row r="115" spans="1:10" x14ac:dyDescent="0.3">
      <c r="A115">
        <v>5</v>
      </c>
      <c r="B115" s="1">
        <v>2006</v>
      </c>
      <c r="C115" s="1" t="s">
        <v>0</v>
      </c>
      <c r="D115" s="1">
        <v>2</v>
      </c>
      <c r="E115" s="1">
        <v>2</v>
      </c>
      <c r="F115" s="1"/>
      <c r="G115" s="1"/>
      <c r="H115" s="1"/>
      <c r="I115" s="1"/>
      <c r="J115" s="1"/>
    </row>
    <row r="116" spans="1:10" x14ac:dyDescent="0.3">
      <c r="A116">
        <v>5</v>
      </c>
      <c r="B116" s="1">
        <v>2008</v>
      </c>
      <c r="C116" s="1" t="s">
        <v>0</v>
      </c>
      <c r="D116" s="1">
        <v>4</v>
      </c>
      <c r="E116" s="1">
        <v>2</v>
      </c>
      <c r="F116" s="1">
        <v>2</v>
      </c>
      <c r="G116" s="1"/>
      <c r="H116" s="1"/>
      <c r="I116" s="1"/>
      <c r="J116" s="1"/>
    </row>
    <row r="117" spans="1:10" x14ac:dyDescent="0.3">
      <c r="A117">
        <v>5</v>
      </c>
      <c r="B117" s="1">
        <v>2009</v>
      </c>
      <c r="C117" s="1" t="s">
        <v>0</v>
      </c>
      <c r="D117" s="1">
        <v>4</v>
      </c>
      <c r="E117" s="1">
        <v>3</v>
      </c>
      <c r="F117" s="1">
        <v>1</v>
      </c>
      <c r="G117" s="1"/>
      <c r="H117" s="1"/>
      <c r="I117" s="1"/>
      <c r="J117" s="1"/>
    </row>
    <row r="118" spans="1:10" x14ac:dyDescent="0.3">
      <c r="A118">
        <v>5</v>
      </c>
      <c r="B118" s="1">
        <v>2010</v>
      </c>
      <c r="C118" s="1" t="s">
        <v>0</v>
      </c>
      <c r="D118" s="1">
        <v>1</v>
      </c>
      <c r="E118" s="1"/>
      <c r="F118" s="1">
        <v>1</v>
      </c>
      <c r="G118" s="1"/>
      <c r="H118" s="1"/>
      <c r="I118" s="1"/>
      <c r="J118" s="1"/>
    </row>
    <row r="119" spans="1:10" x14ac:dyDescent="0.3">
      <c r="A119">
        <v>5</v>
      </c>
      <c r="B119" s="1">
        <v>2011</v>
      </c>
      <c r="C119" s="1" t="s">
        <v>0</v>
      </c>
      <c r="D119" s="1">
        <v>4</v>
      </c>
      <c r="E119" s="1"/>
      <c r="F119" s="1">
        <v>4</v>
      </c>
      <c r="G119" s="1"/>
      <c r="H119" s="1"/>
      <c r="I119" s="1"/>
      <c r="J119" s="1"/>
    </row>
    <row r="120" spans="1:10" x14ac:dyDescent="0.3">
      <c r="A120">
        <v>5</v>
      </c>
      <c r="B120" s="1">
        <v>2012</v>
      </c>
      <c r="C120" s="1" t="s">
        <v>0</v>
      </c>
      <c r="D120" s="1">
        <v>4</v>
      </c>
      <c r="E120" s="1">
        <v>1</v>
      </c>
      <c r="F120" s="1">
        <v>3</v>
      </c>
      <c r="G120" s="1"/>
      <c r="H120" s="1"/>
      <c r="I120" s="1"/>
      <c r="J120" s="1"/>
    </row>
    <row r="121" spans="1:10" x14ac:dyDescent="0.3">
      <c r="A121">
        <v>5</v>
      </c>
      <c r="B121" s="1">
        <v>2013</v>
      </c>
      <c r="C121" s="1" t="s">
        <v>0</v>
      </c>
      <c r="D121" s="1">
        <v>1</v>
      </c>
      <c r="E121" s="1"/>
      <c r="F121" s="1">
        <v>1</v>
      </c>
      <c r="G121" s="1"/>
      <c r="H121" s="1"/>
      <c r="I121" s="1"/>
      <c r="J121" s="1"/>
    </row>
    <row r="122" spans="1:10" x14ac:dyDescent="0.3">
      <c r="A122">
        <v>5</v>
      </c>
      <c r="B122" s="1">
        <v>2014</v>
      </c>
      <c r="C122" s="1" t="s">
        <v>0</v>
      </c>
      <c r="D122" s="1">
        <v>2</v>
      </c>
      <c r="E122" s="1">
        <v>1</v>
      </c>
      <c r="F122" s="1">
        <v>1</v>
      </c>
      <c r="G122" s="1"/>
      <c r="H122" s="1"/>
      <c r="I122" s="1"/>
      <c r="J122" s="1"/>
    </row>
    <row r="123" spans="1:10" x14ac:dyDescent="0.3">
      <c r="A123">
        <v>5</v>
      </c>
      <c r="B123" s="1">
        <v>2015</v>
      </c>
      <c r="C123" s="1" t="s">
        <v>0</v>
      </c>
      <c r="D123" s="1">
        <v>5</v>
      </c>
      <c r="E123" s="1">
        <v>4</v>
      </c>
      <c r="F123" s="1">
        <v>1</v>
      </c>
      <c r="G123" s="1"/>
      <c r="H123" s="1"/>
      <c r="I123" s="1"/>
      <c r="J123" s="1"/>
    </row>
    <row r="124" spans="1:10" x14ac:dyDescent="0.3">
      <c r="A124">
        <v>5</v>
      </c>
      <c r="B124" s="1">
        <v>2016</v>
      </c>
      <c r="C124" s="1" t="s">
        <v>0</v>
      </c>
      <c r="D124" s="1">
        <v>3</v>
      </c>
      <c r="E124" s="1">
        <v>2</v>
      </c>
      <c r="F124" s="1">
        <v>1</v>
      </c>
      <c r="G124" s="1"/>
      <c r="H124" s="1"/>
      <c r="I124" s="1"/>
      <c r="J124" s="1"/>
    </row>
    <row r="125" spans="1:10" x14ac:dyDescent="0.3">
      <c r="A125">
        <v>5</v>
      </c>
      <c r="B125" s="1">
        <v>2017</v>
      </c>
      <c r="C125" s="1" t="s">
        <v>0</v>
      </c>
      <c r="D125" s="1">
        <v>6</v>
      </c>
      <c r="E125" s="1">
        <v>4</v>
      </c>
      <c r="F125" s="1">
        <v>2</v>
      </c>
      <c r="G125" s="1"/>
      <c r="H125" s="1"/>
      <c r="I125" s="1"/>
      <c r="J125" s="1"/>
    </row>
    <row r="126" spans="1:10" x14ac:dyDescent="0.3">
      <c r="A126">
        <v>5</v>
      </c>
      <c r="B126" s="1">
        <v>2018</v>
      </c>
      <c r="C126" s="1" t="s">
        <v>0</v>
      </c>
      <c r="D126" s="1">
        <v>6</v>
      </c>
      <c r="E126" s="1">
        <v>3</v>
      </c>
      <c r="F126" s="1">
        <v>3</v>
      </c>
      <c r="G126" s="1"/>
      <c r="H126" s="1"/>
      <c r="I126" s="1"/>
      <c r="J126" s="1"/>
    </row>
    <row r="127" spans="1:10" x14ac:dyDescent="0.3">
      <c r="A127">
        <v>5</v>
      </c>
      <c r="B127" s="1">
        <v>2019</v>
      </c>
      <c r="C127" s="1" t="s">
        <v>0</v>
      </c>
      <c r="D127" s="1">
        <v>1</v>
      </c>
      <c r="E127" s="1">
        <v>1</v>
      </c>
      <c r="F127" s="1"/>
      <c r="G127" s="1"/>
      <c r="H127" s="1"/>
      <c r="I127" s="1"/>
      <c r="J127" s="1"/>
    </row>
    <row r="128" spans="1:10" x14ac:dyDescent="0.3">
      <c r="A128">
        <v>5</v>
      </c>
      <c r="B128" s="1">
        <v>2020</v>
      </c>
      <c r="C128" s="1" t="s">
        <v>0</v>
      </c>
      <c r="D128" s="1">
        <v>3</v>
      </c>
      <c r="E128" s="1"/>
      <c r="F128" s="1">
        <v>3</v>
      </c>
      <c r="G128" s="1"/>
      <c r="H128" s="1"/>
      <c r="I128" s="1"/>
      <c r="J128" s="1"/>
    </row>
    <row r="129" spans="1:10" x14ac:dyDescent="0.3">
      <c r="A129">
        <v>5</v>
      </c>
      <c r="B129" s="1">
        <v>2021</v>
      </c>
      <c r="C129" s="1" t="s">
        <v>0</v>
      </c>
      <c r="D129" s="1">
        <v>2</v>
      </c>
      <c r="E129" s="1">
        <v>1</v>
      </c>
      <c r="F129" s="1">
        <v>1</v>
      </c>
      <c r="G129" s="1"/>
      <c r="H129" s="1"/>
      <c r="I129" s="1"/>
      <c r="J129" s="1"/>
    </row>
    <row r="130" spans="1:10" x14ac:dyDescent="0.3">
      <c r="A130">
        <v>5</v>
      </c>
      <c r="B130" s="1">
        <v>2022</v>
      </c>
      <c r="C130" s="1" t="s">
        <v>0</v>
      </c>
      <c r="D130" s="1">
        <v>2</v>
      </c>
      <c r="E130" s="1">
        <v>1</v>
      </c>
      <c r="F130" s="1">
        <v>1</v>
      </c>
      <c r="G130" s="1"/>
      <c r="H130" s="1"/>
      <c r="I130" s="1"/>
      <c r="J130" s="1"/>
    </row>
    <row r="131" spans="1:10" x14ac:dyDescent="0.3">
      <c r="A131">
        <v>5</v>
      </c>
      <c r="B131" s="1">
        <v>2023</v>
      </c>
      <c r="C131" s="1" t="s">
        <v>0</v>
      </c>
      <c r="D131" s="1">
        <v>2</v>
      </c>
      <c r="E131" s="1">
        <v>2</v>
      </c>
      <c r="F131" s="1"/>
      <c r="G131" s="1"/>
      <c r="H131" s="1"/>
      <c r="I131" s="1"/>
      <c r="J131" s="1"/>
    </row>
    <row r="132" spans="1:10" x14ac:dyDescent="0.3">
      <c r="A132">
        <v>5</v>
      </c>
      <c r="B132" s="1">
        <v>2024</v>
      </c>
      <c r="C132" s="1" t="s">
        <v>0</v>
      </c>
      <c r="D132" s="1">
        <v>1</v>
      </c>
      <c r="E132" s="1">
        <v>1</v>
      </c>
      <c r="F132" s="1"/>
      <c r="G132" s="1"/>
      <c r="H132" s="1"/>
      <c r="I132" s="1"/>
      <c r="J132" s="1"/>
    </row>
    <row r="133" spans="1:10" x14ac:dyDescent="0.3">
      <c r="A133" s="3">
        <v>10</v>
      </c>
      <c r="B133" s="1">
        <v>1990</v>
      </c>
      <c r="C133" s="1" t="s">
        <v>0</v>
      </c>
      <c r="D133" s="1">
        <v>8</v>
      </c>
      <c r="E133" s="1">
        <v>5</v>
      </c>
      <c r="F133" s="1">
        <v>3</v>
      </c>
      <c r="G133" s="1"/>
      <c r="H133" s="1"/>
      <c r="I133" s="1"/>
      <c r="J133" s="1"/>
    </row>
    <row r="134" spans="1:10" x14ac:dyDescent="0.3">
      <c r="A134">
        <v>10</v>
      </c>
      <c r="B134" s="1">
        <v>1991</v>
      </c>
      <c r="C134" s="1" t="s">
        <v>0</v>
      </c>
      <c r="D134" s="1">
        <v>14</v>
      </c>
      <c r="E134" s="1">
        <v>11</v>
      </c>
      <c r="F134" s="1">
        <v>3</v>
      </c>
      <c r="G134" s="1"/>
      <c r="H134" s="1"/>
      <c r="I134" s="1"/>
      <c r="J134" s="1"/>
    </row>
    <row r="135" spans="1:10" x14ac:dyDescent="0.3">
      <c r="A135">
        <v>10</v>
      </c>
      <c r="B135" s="1">
        <v>1992</v>
      </c>
      <c r="C135" s="1" t="s">
        <v>0</v>
      </c>
      <c r="D135" s="1">
        <v>9</v>
      </c>
      <c r="E135" s="1">
        <v>7</v>
      </c>
      <c r="F135" s="1">
        <v>2</v>
      </c>
      <c r="G135" s="1"/>
      <c r="H135" s="1"/>
      <c r="I135" s="1"/>
      <c r="J135" s="1"/>
    </row>
    <row r="136" spans="1:10" x14ac:dyDescent="0.3">
      <c r="A136">
        <v>10</v>
      </c>
      <c r="B136" s="1">
        <v>1993</v>
      </c>
      <c r="C136" s="1" t="s">
        <v>0</v>
      </c>
      <c r="D136" s="1">
        <v>4</v>
      </c>
      <c r="E136" s="1">
        <v>2</v>
      </c>
      <c r="F136" s="1">
        <v>2</v>
      </c>
      <c r="G136" s="1"/>
      <c r="H136" s="1"/>
      <c r="I136" s="1"/>
      <c r="J136" s="1"/>
    </row>
    <row r="137" spans="1:10" x14ac:dyDescent="0.3">
      <c r="A137">
        <v>10</v>
      </c>
      <c r="B137" s="1">
        <v>1994</v>
      </c>
      <c r="C137" s="1" t="s">
        <v>0</v>
      </c>
      <c r="D137" s="1">
        <v>6</v>
      </c>
      <c r="E137" s="1">
        <v>4</v>
      </c>
      <c r="F137" s="1">
        <v>2</v>
      </c>
      <c r="G137" s="1"/>
      <c r="H137" s="1"/>
      <c r="I137" s="1"/>
      <c r="J137" s="1"/>
    </row>
    <row r="138" spans="1:10" x14ac:dyDescent="0.3">
      <c r="A138">
        <v>10</v>
      </c>
      <c r="B138" s="1">
        <v>1995</v>
      </c>
      <c r="C138" s="1" t="s">
        <v>0</v>
      </c>
      <c r="D138" s="1">
        <v>9</v>
      </c>
      <c r="E138" s="1">
        <v>6</v>
      </c>
      <c r="F138" s="1">
        <v>3</v>
      </c>
      <c r="G138" s="1"/>
      <c r="H138" s="1"/>
      <c r="I138" s="1"/>
      <c r="J138" s="1"/>
    </row>
    <row r="139" spans="1:10" x14ac:dyDescent="0.3">
      <c r="A139">
        <v>10</v>
      </c>
      <c r="B139" s="1">
        <v>1996</v>
      </c>
      <c r="C139" s="1" t="s">
        <v>0</v>
      </c>
      <c r="D139" s="1">
        <v>10</v>
      </c>
      <c r="E139" s="1">
        <v>9</v>
      </c>
      <c r="F139" s="1">
        <v>1</v>
      </c>
      <c r="G139" s="1"/>
      <c r="H139" s="1"/>
      <c r="I139" s="1"/>
      <c r="J139" s="1"/>
    </row>
    <row r="140" spans="1:10" x14ac:dyDescent="0.3">
      <c r="A140">
        <v>10</v>
      </c>
      <c r="B140" s="1">
        <v>1997</v>
      </c>
      <c r="C140" s="1" t="s">
        <v>0</v>
      </c>
      <c r="D140" s="1">
        <v>5</v>
      </c>
      <c r="E140" s="1">
        <v>2</v>
      </c>
      <c r="F140" s="1">
        <v>3</v>
      </c>
      <c r="G140" s="1"/>
      <c r="H140" s="1"/>
      <c r="I140" s="1"/>
      <c r="J140" s="1"/>
    </row>
    <row r="141" spans="1:10" x14ac:dyDescent="0.3">
      <c r="A141">
        <v>10</v>
      </c>
      <c r="B141" s="1">
        <v>1998</v>
      </c>
      <c r="C141" s="1" t="s">
        <v>0</v>
      </c>
      <c r="D141" s="1">
        <v>5</v>
      </c>
      <c r="E141" s="1">
        <v>4</v>
      </c>
      <c r="F141" s="1">
        <v>1</v>
      </c>
      <c r="G141" s="1"/>
      <c r="H141" s="1"/>
      <c r="I141" s="1"/>
      <c r="J141" s="1"/>
    </row>
    <row r="142" spans="1:10" x14ac:dyDescent="0.3">
      <c r="A142">
        <v>10</v>
      </c>
      <c r="B142" s="1">
        <v>1999</v>
      </c>
      <c r="C142" s="1" t="s">
        <v>0</v>
      </c>
      <c r="D142" s="1">
        <v>8</v>
      </c>
      <c r="E142" s="1">
        <v>5</v>
      </c>
      <c r="F142" s="1">
        <v>3</v>
      </c>
      <c r="G142" s="1"/>
      <c r="H142" s="1"/>
      <c r="I142" s="1"/>
      <c r="J142" s="1"/>
    </row>
    <row r="143" spans="1:10" x14ac:dyDescent="0.3">
      <c r="A143">
        <v>10</v>
      </c>
      <c r="B143" s="1">
        <v>2000</v>
      </c>
      <c r="C143" s="1" t="s">
        <v>0</v>
      </c>
      <c r="D143" s="1">
        <v>8</v>
      </c>
      <c r="E143" s="1">
        <v>5</v>
      </c>
      <c r="F143" s="1">
        <v>3</v>
      </c>
      <c r="G143" s="1"/>
      <c r="H143" s="1"/>
      <c r="I143" s="1"/>
      <c r="J143" s="1"/>
    </row>
    <row r="144" spans="1:10" x14ac:dyDescent="0.3">
      <c r="A144">
        <v>10</v>
      </c>
      <c r="B144" s="1">
        <v>2001</v>
      </c>
      <c r="C144" s="1" t="s">
        <v>0</v>
      </c>
      <c r="D144" s="1">
        <v>8</v>
      </c>
      <c r="E144" s="1">
        <v>7</v>
      </c>
      <c r="F144" s="1">
        <v>1</v>
      </c>
      <c r="G144" s="1"/>
      <c r="H144" s="1"/>
      <c r="I144" s="1"/>
      <c r="J144" s="1"/>
    </row>
    <row r="145" spans="1:10" x14ac:dyDescent="0.3">
      <c r="A145">
        <v>10</v>
      </c>
      <c r="B145" s="1">
        <v>2002</v>
      </c>
      <c r="C145" s="1" t="s">
        <v>0</v>
      </c>
      <c r="D145" s="1">
        <v>3</v>
      </c>
      <c r="E145" s="1"/>
      <c r="F145" s="1">
        <v>3</v>
      </c>
      <c r="G145" s="1"/>
      <c r="H145" s="1"/>
      <c r="I145" s="1"/>
      <c r="J145" s="1"/>
    </row>
    <row r="146" spans="1:10" x14ac:dyDescent="0.3">
      <c r="A146">
        <v>10</v>
      </c>
      <c r="B146" s="1">
        <v>2003</v>
      </c>
      <c r="C146" s="1" t="s">
        <v>0</v>
      </c>
      <c r="D146" s="1">
        <v>6</v>
      </c>
      <c r="E146" s="1">
        <v>6</v>
      </c>
      <c r="F146" s="1"/>
      <c r="G146" s="1"/>
      <c r="H146" s="1"/>
      <c r="I146" s="1"/>
      <c r="J146" s="1"/>
    </row>
    <row r="147" spans="1:10" x14ac:dyDescent="0.3">
      <c r="A147">
        <v>10</v>
      </c>
      <c r="B147" s="1">
        <v>2004</v>
      </c>
      <c r="C147" s="1" t="s">
        <v>0</v>
      </c>
      <c r="D147" s="1">
        <v>3</v>
      </c>
      <c r="E147" s="1">
        <v>2</v>
      </c>
      <c r="F147" s="1">
        <v>1</v>
      </c>
      <c r="G147" s="1"/>
      <c r="H147" s="1"/>
      <c r="I147" s="1"/>
      <c r="J147" s="1"/>
    </row>
    <row r="148" spans="1:10" x14ac:dyDescent="0.3">
      <c r="A148">
        <v>10</v>
      </c>
      <c r="B148" s="1">
        <v>2005</v>
      </c>
      <c r="C148" s="1" t="s">
        <v>0</v>
      </c>
      <c r="D148" s="1">
        <v>8</v>
      </c>
      <c r="E148" s="1">
        <v>4</v>
      </c>
      <c r="F148" s="1">
        <v>4</v>
      </c>
      <c r="G148" s="1"/>
      <c r="H148" s="1"/>
      <c r="I148" s="1"/>
      <c r="J148" s="1"/>
    </row>
    <row r="149" spans="1:10" x14ac:dyDescent="0.3">
      <c r="A149">
        <v>10</v>
      </c>
      <c r="B149" s="1">
        <v>2006</v>
      </c>
      <c r="C149" s="1" t="s">
        <v>0</v>
      </c>
      <c r="D149" s="1">
        <v>3</v>
      </c>
      <c r="E149" s="1">
        <v>1</v>
      </c>
      <c r="F149" s="1">
        <v>2</v>
      </c>
      <c r="G149" s="1"/>
      <c r="H149" s="1"/>
      <c r="I149" s="1"/>
      <c r="J149" s="1"/>
    </row>
    <row r="150" spans="1:10" x14ac:dyDescent="0.3">
      <c r="A150">
        <v>10</v>
      </c>
      <c r="B150" s="1">
        <v>2007</v>
      </c>
      <c r="C150" s="1" t="s">
        <v>0</v>
      </c>
      <c r="D150" s="1">
        <v>2</v>
      </c>
      <c r="E150" s="1">
        <v>1</v>
      </c>
      <c r="F150" s="1">
        <v>1</v>
      </c>
      <c r="G150" s="1"/>
      <c r="H150" s="1"/>
      <c r="I150" s="1"/>
      <c r="J150" s="1"/>
    </row>
    <row r="151" spans="1:10" x14ac:dyDescent="0.3">
      <c r="A151">
        <v>10</v>
      </c>
      <c r="B151" s="1">
        <v>2008</v>
      </c>
      <c r="C151" s="1" t="s">
        <v>0</v>
      </c>
      <c r="D151" s="1">
        <v>7</v>
      </c>
      <c r="E151" s="1">
        <v>3</v>
      </c>
      <c r="F151" s="1">
        <v>4</v>
      </c>
      <c r="G151" s="1"/>
      <c r="H151" s="1"/>
      <c r="I151" s="1"/>
      <c r="J151" s="1"/>
    </row>
    <row r="152" spans="1:10" x14ac:dyDescent="0.3">
      <c r="A152">
        <v>10</v>
      </c>
      <c r="B152" s="1">
        <v>2009</v>
      </c>
      <c r="C152" s="1" t="s">
        <v>0</v>
      </c>
      <c r="D152" s="1">
        <v>12</v>
      </c>
      <c r="E152" s="1">
        <v>5</v>
      </c>
      <c r="F152" s="1">
        <v>7</v>
      </c>
      <c r="G152" s="1"/>
      <c r="H152" s="1"/>
      <c r="I152" s="1"/>
      <c r="J152" s="1"/>
    </row>
    <row r="153" spans="1:10" x14ac:dyDescent="0.3">
      <c r="A153">
        <v>10</v>
      </c>
      <c r="B153" s="1">
        <v>2010</v>
      </c>
      <c r="C153" s="1" t="s">
        <v>0</v>
      </c>
      <c r="D153" s="1">
        <v>1</v>
      </c>
      <c r="E153" s="1">
        <v>1</v>
      </c>
      <c r="F153" s="1"/>
      <c r="G153" s="1"/>
      <c r="H153" s="1"/>
      <c r="I153" s="1"/>
      <c r="J153" s="1"/>
    </row>
    <row r="154" spans="1:10" x14ac:dyDescent="0.3">
      <c r="A154">
        <v>10</v>
      </c>
      <c r="B154" s="1">
        <v>2011</v>
      </c>
      <c r="C154" s="1" t="s">
        <v>0</v>
      </c>
      <c r="D154" s="1">
        <v>11</v>
      </c>
      <c r="E154" s="1">
        <v>8</v>
      </c>
      <c r="F154" s="1">
        <v>3</v>
      </c>
      <c r="G154" s="1"/>
      <c r="H154" s="1"/>
      <c r="I154" s="1"/>
      <c r="J154" s="1"/>
    </row>
    <row r="155" spans="1:10" x14ac:dyDescent="0.3">
      <c r="A155">
        <v>10</v>
      </c>
      <c r="B155" s="1">
        <v>2012</v>
      </c>
      <c r="C155" s="1" t="s">
        <v>0</v>
      </c>
      <c r="D155" s="1">
        <v>13</v>
      </c>
      <c r="E155" s="1">
        <v>7</v>
      </c>
      <c r="F155" s="1">
        <v>6</v>
      </c>
      <c r="G155" s="1"/>
      <c r="H155" s="1"/>
      <c r="I155" s="1"/>
      <c r="J155" s="1"/>
    </row>
    <row r="156" spans="1:10" x14ac:dyDescent="0.3">
      <c r="A156">
        <v>10</v>
      </c>
      <c r="B156" s="1">
        <v>2013</v>
      </c>
      <c r="C156" s="1" t="s">
        <v>0</v>
      </c>
      <c r="D156" s="1">
        <v>3</v>
      </c>
      <c r="E156" s="1">
        <v>2</v>
      </c>
      <c r="F156" s="1">
        <v>1</v>
      </c>
      <c r="G156" s="1"/>
      <c r="H156" s="1"/>
      <c r="I156" s="1"/>
      <c r="J156" s="1"/>
    </row>
    <row r="157" spans="1:10" x14ac:dyDescent="0.3">
      <c r="A157">
        <v>10</v>
      </c>
      <c r="B157" s="1">
        <v>2014</v>
      </c>
      <c r="C157" s="1" t="s">
        <v>0</v>
      </c>
      <c r="D157" s="1">
        <v>4</v>
      </c>
      <c r="E157" s="1">
        <v>4</v>
      </c>
      <c r="F157" s="1"/>
      <c r="G157" s="1"/>
      <c r="H157" s="1"/>
      <c r="I157" s="1"/>
      <c r="J157" s="1"/>
    </row>
    <row r="158" spans="1:10" x14ac:dyDescent="0.3">
      <c r="A158">
        <v>10</v>
      </c>
      <c r="B158" s="1">
        <v>2015</v>
      </c>
      <c r="C158" s="1" t="s">
        <v>0</v>
      </c>
      <c r="D158" s="1">
        <v>5</v>
      </c>
      <c r="E158" s="1">
        <v>4</v>
      </c>
      <c r="F158" s="1">
        <v>1</v>
      </c>
      <c r="G158" s="1"/>
      <c r="H158" s="1"/>
      <c r="I158" s="1"/>
      <c r="J158" s="1"/>
    </row>
    <row r="159" spans="1:10" x14ac:dyDescent="0.3">
      <c r="A159">
        <v>10</v>
      </c>
      <c r="B159" s="1">
        <v>2016</v>
      </c>
      <c r="C159" s="1" t="s">
        <v>0</v>
      </c>
      <c r="D159" s="1">
        <v>7</v>
      </c>
      <c r="E159" s="1">
        <v>4</v>
      </c>
      <c r="F159" s="1">
        <v>3</v>
      </c>
      <c r="G159" s="1"/>
      <c r="H159" s="1"/>
      <c r="I159" s="1"/>
      <c r="J159" s="1"/>
    </row>
    <row r="160" spans="1:10" x14ac:dyDescent="0.3">
      <c r="A160">
        <v>10</v>
      </c>
      <c r="B160" s="1">
        <v>2017</v>
      </c>
      <c r="C160" s="1" t="s">
        <v>0</v>
      </c>
      <c r="D160" s="1">
        <v>12</v>
      </c>
      <c r="E160" s="1">
        <v>4</v>
      </c>
      <c r="F160" s="1">
        <v>8</v>
      </c>
      <c r="G160" s="1"/>
      <c r="H160" s="1"/>
      <c r="I160" s="1"/>
      <c r="J160" s="1"/>
    </row>
    <row r="161" spans="1:10" x14ac:dyDescent="0.3">
      <c r="A161">
        <v>10</v>
      </c>
      <c r="B161" s="1">
        <v>2018</v>
      </c>
      <c r="C161" s="1" t="s">
        <v>0</v>
      </c>
      <c r="D161" s="1">
        <v>7</v>
      </c>
      <c r="E161" s="1">
        <v>6</v>
      </c>
      <c r="F161" s="1">
        <v>1</v>
      </c>
      <c r="G161" s="1"/>
      <c r="H161" s="1"/>
      <c r="I161" s="1"/>
      <c r="J161" s="1"/>
    </row>
    <row r="162" spans="1:10" x14ac:dyDescent="0.3">
      <c r="A162">
        <v>10</v>
      </c>
      <c r="B162" s="1">
        <v>2019</v>
      </c>
      <c r="C162" s="1" t="s">
        <v>0</v>
      </c>
      <c r="D162" s="1">
        <v>12</v>
      </c>
      <c r="E162" s="1">
        <v>8</v>
      </c>
      <c r="F162" s="1">
        <v>4</v>
      </c>
      <c r="G162" s="1"/>
      <c r="H162" s="1"/>
      <c r="I162" s="1"/>
      <c r="J162" s="1"/>
    </row>
    <row r="163" spans="1:10" x14ac:dyDescent="0.3">
      <c r="A163">
        <v>10</v>
      </c>
      <c r="B163" s="1">
        <v>2020</v>
      </c>
      <c r="C163" s="1" t="s">
        <v>0</v>
      </c>
      <c r="D163" s="1">
        <v>7</v>
      </c>
      <c r="E163" s="1">
        <v>5</v>
      </c>
      <c r="F163" s="1">
        <v>2</v>
      </c>
      <c r="G163" s="1"/>
      <c r="H163" s="1"/>
      <c r="I163" s="1"/>
      <c r="J163" s="1"/>
    </row>
    <row r="164" spans="1:10" x14ac:dyDescent="0.3">
      <c r="A164">
        <v>10</v>
      </c>
      <c r="B164" s="1">
        <v>2021</v>
      </c>
      <c r="C164" s="1" t="s">
        <v>0</v>
      </c>
      <c r="D164" s="1">
        <v>6</v>
      </c>
      <c r="E164" s="1">
        <v>4</v>
      </c>
      <c r="F164" s="1">
        <v>2</v>
      </c>
      <c r="G164" s="1"/>
      <c r="H164" s="1"/>
      <c r="I164" s="1"/>
      <c r="J164" s="1"/>
    </row>
    <row r="165" spans="1:10" x14ac:dyDescent="0.3">
      <c r="A165">
        <v>10</v>
      </c>
      <c r="B165" s="1">
        <v>2022</v>
      </c>
      <c r="C165" s="1" t="s">
        <v>0</v>
      </c>
      <c r="D165" s="1">
        <v>6</v>
      </c>
      <c r="E165" s="1">
        <v>2</v>
      </c>
      <c r="F165" s="1">
        <v>4</v>
      </c>
      <c r="G165" s="1"/>
      <c r="H165" s="1"/>
      <c r="I165" s="1"/>
      <c r="J165" s="1"/>
    </row>
    <row r="166" spans="1:10" x14ac:dyDescent="0.3">
      <c r="A166">
        <v>10</v>
      </c>
      <c r="B166" s="1">
        <v>2023</v>
      </c>
      <c r="C166" s="1" t="s">
        <v>0</v>
      </c>
      <c r="D166" s="1">
        <v>6</v>
      </c>
      <c r="E166" s="1">
        <v>3</v>
      </c>
      <c r="F166" s="1">
        <v>3</v>
      </c>
      <c r="G166" s="1"/>
      <c r="H166" s="1"/>
      <c r="I166" s="1"/>
      <c r="J166" s="1"/>
    </row>
    <row r="167" spans="1:10" x14ac:dyDescent="0.3">
      <c r="A167">
        <v>10</v>
      </c>
      <c r="B167" s="1">
        <v>2024</v>
      </c>
      <c r="C167" s="1" t="s">
        <v>0</v>
      </c>
      <c r="D167" s="1">
        <v>4</v>
      </c>
      <c r="E167" s="1">
        <v>4</v>
      </c>
      <c r="F167" s="1"/>
      <c r="G167" s="1"/>
      <c r="H167" s="1"/>
      <c r="I167" s="1"/>
      <c r="J167" s="1"/>
    </row>
    <row r="168" spans="1:10" x14ac:dyDescent="0.3">
      <c r="A168" s="3">
        <v>15</v>
      </c>
      <c r="B168" s="1">
        <v>1990</v>
      </c>
      <c r="C168" s="1" t="s">
        <v>0</v>
      </c>
      <c r="D168" s="1">
        <v>52</v>
      </c>
      <c r="E168" s="1">
        <v>48</v>
      </c>
      <c r="F168" s="1">
        <v>4</v>
      </c>
      <c r="G168" s="1"/>
      <c r="H168" s="1"/>
      <c r="I168" s="1"/>
      <c r="J168" s="1"/>
    </row>
    <row r="169" spans="1:10" x14ac:dyDescent="0.3">
      <c r="A169">
        <v>15</v>
      </c>
      <c r="B169" s="1">
        <v>1991</v>
      </c>
      <c r="C169" s="1" t="s">
        <v>0</v>
      </c>
      <c r="D169" s="1">
        <v>66</v>
      </c>
      <c r="E169" s="1">
        <v>57</v>
      </c>
      <c r="F169" s="1">
        <v>9</v>
      </c>
      <c r="G169" s="1"/>
      <c r="H169" s="1"/>
      <c r="I169" s="1"/>
      <c r="J169" s="1"/>
    </row>
    <row r="170" spans="1:10" x14ac:dyDescent="0.3">
      <c r="A170">
        <v>15</v>
      </c>
      <c r="B170" s="1">
        <v>1992</v>
      </c>
      <c r="C170" s="1" t="s">
        <v>0</v>
      </c>
      <c r="D170" s="1">
        <v>44</v>
      </c>
      <c r="E170" s="1">
        <v>38</v>
      </c>
      <c r="F170" s="1">
        <v>6</v>
      </c>
      <c r="G170" s="1"/>
      <c r="H170" s="1"/>
      <c r="I170" s="1"/>
      <c r="J170" s="1"/>
    </row>
    <row r="171" spans="1:10" x14ac:dyDescent="0.3">
      <c r="A171">
        <v>15</v>
      </c>
      <c r="B171" s="1">
        <v>1993</v>
      </c>
      <c r="C171" s="1" t="s">
        <v>0</v>
      </c>
      <c r="D171" s="1">
        <v>61</v>
      </c>
      <c r="E171" s="1">
        <v>48</v>
      </c>
      <c r="F171" s="1">
        <v>13</v>
      </c>
      <c r="G171" s="1"/>
      <c r="H171" s="1"/>
      <c r="I171" s="1"/>
      <c r="J171" s="1"/>
    </row>
    <row r="172" spans="1:10" x14ac:dyDescent="0.3">
      <c r="A172">
        <v>15</v>
      </c>
      <c r="B172" s="1">
        <v>1994</v>
      </c>
      <c r="C172" s="1" t="s">
        <v>0</v>
      </c>
      <c r="D172" s="1">
        <v>51</v>
      </c>
      <c r="E172" s="1">
        <v>47</v>
      </c>
      <c r="F172" s="1">
        <v>4</v>
      </c>
      <c r="G172" s="1"/>
      <c r="H172" s="1"/>
      <c r="I172" s="1"/>
      <c r="J172" s="1"/>
    </row>
    <row r="173" spans="1:10" x14ac:dyDescent="0.3">
      <c r="A173">
        <v>15</v>
      </c>
      <c r="B173" s="1">
        <v>1995</v>
      </c>
      <c r="C173" s="1" t="s">
        <v>0</v>
      </c>
      <c r="D173" s="1">
        <v>51</v>
      </c>
      <c r="E173" s="1">
        <v>41</v>
      </c>
      <c r="F173" s="1">
        <v>10</v>
      </c>
      <c r="G173" s="1"/>
      <c r="H173" s="1"/>
      <c r="I173" s="1"/>
      <c r="J173" s="1"/>
    </row>
    <row r="174" spans="1:10" x14ac:dyDescent="0.3">
      <c r="A174">
        <v>15</v>
      </c>
      <c r="B174" s="1">
        <v>1996</v>
      </c>
      <c r="C174" s="1" t="s">
        <v>0</v>
      </c>
      <c r="D174" s="1">
        <v>38</v>
      </c>
      <c r="E174" s="1">
        <v>31</v>
      </c>
      <c r="F174" s="1">
        <v>7</v>
      </c>
      <c r="G174" s="1"/>
      <c r="H174" s="1"/>
      <c r="I174" s="1"/>
      <c r="J174" s="1"/>
    </row>
    <row r="175" spans="1:10" x14ac:dyDescent="0.3">
      <c r="A175">
        <v>15</v>
      </c>
      <c r="B175" s="1">
        <v>1997</v>
      </c>
      <c r="C175" s="1" t="s">
        <v>0</v>
      </c>
      <c r="D175" s="1">
        <v>45</v>
      </c>
      <c r="E175" s="1">
        <v>39</v>
      </c>
      <c r="F175" s="1">
        <v>6</v>
      </c>
      <c r="G175" s="1"/>
      <c r="H175" s="1"/>
      <c r="I175" s="1"/>
      <c r="J175" s="1"/>
    </row>
    <row r="176" spans="1:10" x14ac:dyDescent="0.3">
      <c r="A176">
        <v>15</v>
      </c>
      <c r="B176" s="1">
        <v>1998</v>
      </c>
      <c r="C176" s="1" t="s">
        <v>0</v>
      </c>
      <c r="D176" s="1">
        <v>41</v>
      </c>
      <c r="E176" s="1">
        <v>36</v>
      </c>
      <c r="F176" s="1">
        <v>5</v>
      </c>
      <c r="G176" s="1"/>
      <c r="H176" s="1"/>
      <c r="I176" s="1"/>
      <c r="J176" s="1"/>
    </row>
    <row r="177" spans="1:10" x14ac:dyDescent="0.3">
      <c r="A177">
        <v>15</v>
      </c>
      <c r="B177" s="1">
        <v>1999</v>
      </c>
      <c r="C177" s="1" t="s">
        <v>0</v>
      </c>
      <c r="D177" s="1">
        <v>16</v>
      </c>
      <c r="E177" s="1">
        <v>14</v>
      </c>
      <c r="F177" s="1">
        <v>2</v>
      </c>
      <c r="G177" s="1"/>
      <c r="H177" s="1"/>
      <c r="I177" s="1"/>
      <c r="J177" s="1"/>
    </row>
    <row r="178" spans="1:10" x14ac:dyDescent="0.3">
      <c r="A178">
        <v>15</v>
      </c>
      <c r="B178" s="1">
        <v>2000</v>
      </c>
      <c r="C178" s="1" t="s">
        <v>0</v>
      </c>
      <c r="D178" s="1">
        <v>36</v>
      </c>
      <c r="E178" s="1">
        <v>30</v>
      </c>
      <c r="F178" s="1">
        <v>6</v>
      </c>
      <c r="G178" s="1"/>
      <c r="H178" s="1"/>
      <c r="I178" s="1"/>
      <c r="J178" s="1"/>
    </row>
    <row r="179" spans="1:10" x14ac:dyDescent="0.3">
      <c r="A179">
        <v>15</v>
      </c>
      <c r="B179" s="1">
        <v>2001</v>
      </c>
      <c r="C179" s="1" t="s">
        <v>0</v>
      </c>
      <c r="D179" s="1">
        <v>37</v>
      </c>
      <c r="E179" s="1">
        <v>34</v>
      </c>
      <c r="F179" s="1">
        <v>3</v>
      </c>
      <c r="G179" s="1"/>
      <c r="H179" s="1"/>
      <c r="I179" s="1"/>
      <c r="J179" s="1"/>
    </row>
    <row r="180" spans="1:10" x14ac:dyDescent="0.3">
      <c r="A180">
        <v>15</v>
      </c>
      <c r="B180" s="1">
        <v>2002</v>
      </c>
      <c r="C180" s="1" t="s">
        <v>0</v>
      </c>
      <c r="D180" s="1">
        <v>28</v>
      </c>
      <c r="E180" s="1">
        <v>23</v>
      </c>
      <c r="F180" s="1">
        <v>5</v>
      </c>
      <c r="G180" s="1"/>
      <c r="H180" s="1"/>
      <c r="I180" s="1"/>
      <c r="J180" s="1"/>
    </row>
    <row r="181" spans="1:10" x14ac:dyDescent="0.3">
      <c r="A181">
        <v>15</v>
      </c>
      <c r="B181" s="1">
        <v>2003</v>
      </c>
      <c r="C181" s="1" t="s">
        <v>0</v>
      </c>
      <c r="D181" s="1">
        <v>26</v>
      </c>
      <c r="E181" s="1">
        <v>19</v>
      </c>
      <c r="F181" s="1">
        <v>7</v>
      </c>
      <c r="G181" s="1"/>
      <c r="H181" s="1"/>
      <c r="I181" s="1"/>
      <c r="J181" s="1"/>
    </row>
    <row r="182" spans="1:10" x14ac:dyDescent="0.3">
      <c r="A182">
        <v>15</v>
      </c>
      <c r="B182" s="1">
        <v>2004</v>
      </c>
      <c r="C182" s="1" t="s">
        <v>0</v>
      </c>
      <c r="D182" s="1">
        <v>19</v>
      </c>
      <c r="E182" s="1">
        <v>16</v>
      </c>
      <c r="F182" s="1">
        <v>3</v>
      </c>
      <c r="G182" s="1"/>
      <c r="H182" s="1"/>
      <c r="I182" s="1"/>
      <c r="J182" s="1"/>
    </row>
    <row r="183" spans="1:10" x14ac:dyDescent="0.3">
      <c r="A183">
        <v>15</v>
      </c>
      <c r="B183" s="1">
        <v>2005</v>
      </c>
      <c r="C183" s="1" t="s">
        <v>0</v>
      </c>
      <c r="D183" s="1">
        <v>22</v>
      </c>
      <c r="E183" s="1">
        <v>17</v>
      </c>
      <c r="F183" s="1">
        <v>5</v>
      </c>
      <c r="G183" s="1"/>
      <c r="H183" s="1"/>
      <c r="I183" s="1"/>
      <c r="J183" s="1"/>
    </row>
    <row r="184" spans="1:10" x14ac:dyDescent="0.3">
      <c r="A184">
        <v>15</v>
      </c>
      <c r="B184" s="1">
        <v>2006</v>
      </c>
      <c r="C184" s="1" t="s">
        <v>0</v>
      </c>
      <c r="D184" s="1">
        <v>17</v>
      </c>
      <c r="E184" s="1">
        <v>12</v>
      </c>
      <c r="F184" s="1">
        <v>5</v>
      </c>
      <c r="G184" s="1"/>
      <c r="H184" s="1"/>
      <c r="I184" s="1"/>
      <c r="J184" s="1"/>
    </row>
    <row r="185" spans="1:10" x14ac:dyDescent="0.3">
      <c r="A185">
        <v>15</v>
      </c>
      <c r="B185" s="1">
        <v>2007</v>
      </c>
      <c r="C185" s="1" t="s">
        <v>0</v>
      </c>
      <c r="D185" s="1">
        <v>23</v>
      </c>
      <c r="E185" s="1">
        <v>19</v>
      </c>
      <c r="F185" s="1">
        <v>4</v>
      </c>
      <c r="G185" s="1"/>
      <c r="H185" s="1"/>
      <c r="I185" s="1"/>
      <c r="J185" s="1"/>
    </row>
    <row r="186" spans="1:10" x14ac:dyDescent="0.3">
      <c r="A186">
        <v>15</v>
      </c>
      <c r="B186" s="1">
        <v>2008</v>
      </c>
      <c r="C186" s="1" t="s">
        <v>0</v>
      </c>
      <c r="D186" s="1">
        <v>30</v>
      </c>
      <c r="E186" s="1">
        <v>21</v>
      </c>
      <c r="F186" s="1">
        <v>9</v>
      </c>
      <c r="G186" s="1"/>
      <c r="H186" s="1"/>
      <c r="I186" s="1"/>
      <c r="J186" s="1"/>
    </row>
    <row r="187" spans="1:10" x14ac:dyDescent="0.3">
      <c r="A187">
        <v>15</v>
      </c>
      <c r="B187" s="1">
        <v>2009</v>
      </c>
      <c r="C187" s="1" t="s">
        <v>0</v>
      </c>
      <c r="D187" s="1">
        <v>47</v>
      </c>
      <c r="E187" s="1">
        <v>38</v>
      </c>
      <c r="F187" s="1">
        <v>9</v>
      </c>
      <c r="G187" s="1"/>
      <c r="H187" s="1"/>
      <c r="I187" s="1"/>
      <c r="J187" s="1"/>
    </row>
    <row r="188" spans="1:10" x14ac:dyDescent="0.3">
      <c r="A188">
        <v>15</v>
      </c>
      <c r="B188" s="1">
        <v>2010</v>
      </c>
      <c r="C188" s="1" t="s">
        <v>0</v>
      </c>
      <c r="D188" s="1">
        <v>44</v>
      </c>
      <c r="E188" s="1">
        <v>31</v>
      </c>
      <c r="F188" s="1">
        <v>13</v>
      </c>
      <c r="G188" s="1"/>
      <c r="H188" s="1"/>
      <c r="I188" s="1"/>
      <c r="J188" s="1"/>
    </row>
    <row r="189" spans="1:10" x14ac:dyDescent="0.3">
      <c r="A189">
        <v>15</v>
      </c>
      <c r="B189" s="1">
        <v>2011</v>
      </c>
      <c r="C189" s="1" t="s">
        <v>0</v>
      </c>
      <c r="D189" s="1">
        <v>106</v>
      </c>
      <c r="E189" s="1">
        <v>92</v>
      </c>
      <c r="F189" s="1">
        <v>14</v>
      </c>
      <c r="G189" s="1"/>
      <c r="H189" s="1"/>
      <c r="I189" s="1"/>
      <c r="J189" s="1"/>
    </row>
    <row r="190" spans="1:10" x14ac:dyDescent="0.3">
      <c r="A190">
        <v>15</v>
      </c>
      <c r="B190" s="1">
        <v>2012</v>
      </c>
      <c r="C190" s="1" t="s">
        <v>0</v>
      </c>
      <c r="D190" s="1">
        <v>86</v>
      </c>
      <c r="E190" s="1">
        <v>68</v>
      </c>
      <c r="F190" s="1">
        <v>18</v>
      </c>
      <c r="G190" s="1"/>
      <c r="H190" s="1"/>
      <c r="I190" s="1"/>
      <c r="J190" s="1"/>
    </row>
    <row r="191" spans="1:10" x14ac:dyDescent="0.3">
      <c r="A191">
        <v>15</v>
      </c>
      <c r="B191" s="1">
        <v>2013</v>
      </c>
      <c r="C191" s="1" t="s">
        <v>0</v>
      </c>
      <c r="D191" s="1">
        <v>71</v>
      </c>
      <c r="E191" s="1">
        <v>57</v>
      </c>
      <c r="F191" s="1">
        <v>14</v>
      </c>
      <c r="G191" s="1"/>
      <c r="H191" s="1"/>
      <c r="I191" s="1"/>
      <c r="J191" s="1"/>
    </row>
    <row r="192" spans="1:10" x14ac:dyDescent="0.3">
      <c r="A192">
        <v>15</v>
      </c>
      <c r="B192" s="1">
        <v>2014</v>
      </c>
      <c r="C192" s="1" t="s">
        <v>0</v>
      </c>
      <c r="D192" s="1">
        <v>66</v>
      </c>
      <c r="E192" s="1">
        <v>58</v>
      </c>
      <c r="F192" s="1">
        <v>8</v>
      </c>
      <c r="G192" s="1"/>
      <c r="H192" s="1"/>
      <c r="I192" s="1"/>
      <c r="J192" s="1"/>
    </row>
    <row r="193" spans="1:10" x14ac:dyDescent="0.3">
      <c r="A193">
        <v>15</v>
      </c>
      <c r="B193" s="1">
        <v>2015</v>
      </c>
      <c r="C193" s="1" t="s">
        <v>0</v>
      </c>
      <c r="D193" s="1">
        <v>73</v>
      </c>
      <c r="E193" s="1">
        <v>63</v>
      </c>
      <c r="F193" s="1">
        <v>10</v>
      </c>
      <c r="G193" s="1"/>
      <c r="H193" s="1"/>
      <c r="I193" s="1"/>
      <c r="J193" s="1"/>
    </row>
    <row r="194" spans="1:10" x14ac:dyDescent="0.3">
      <c r="A194">
        <v>15</v>
      </c>
      <c r="B194" s="1">
        <v>2016</v>
      </c>
      <c r="C194" s="1" t="s">
        <v>0</v>
      </c>
      <c r="D194" s="1">
        <v>94</v>
      </c>
      <c r="E194" s="1">
        <v>79</v>
      </c>
      <c r="F194" s="1">
        <v>15</v>
      </c>
      <c r="G194" s="1"/>
      <c r="H194" s="1"/>
      <c r="I194" s="1"/>
      <c r="J194" s="1"/>
    </row>
    <row r="195" spans="1:10" x14ac:dyDescent="0.3">
      <c r="A195">
        <v>15</v>
      </c>
      <c r="B195" s="1">
        <v>2017</v>
      </c>
      <c r="C195" s="1" t="s">
        <v>0</v>
      </c>
      <c r="D195" s="1">
        <v>138</v>
      </c>
      <c r="E195" s="1">
        <v>116</v>
      </c>
      <c r="F195" s="1">
        <v>22</v>
      </c>
      <c r="G195" s="1"/>
      <c r="H195" s="1"/>
      <c r="I195" s="1"/>
      <c r="J195" s="1"/>
    </row>
    <row r="196" spans="1:10" x14ac:dyDescent="0.3">
      <c r="A196">
        <v>15</v>
      </c>
      <c r="B196" s="1">
        <v>2018</v>
      </c>
      <c r="C196" s="1" t="s">
        <v>0</v>
      </c>
      <c r="D196" s="1">
        <v>120</v>
      </c>
      <c r="E196" s="1">
        <v>109</v>
      </c>
      <c r="F196" s="1">
        <v>11</v>
      </c>
      <c r="G196" s="1"/>
      <c r="H196" s="1"/>
      <c r="I196" s="1"/>
      <c r="J196" s="1"/>
    </row>
    <row r="197" spans="1:10" x14ac:dyDescent="0.3">
      <c r="A197">
        <v>15</v>
      </c>
      <c r="B197" s="1">
        <v>2019</v>
      </c>
      <c r="C197" s="1" t="s">
        <v>0</v>
      </c>
      <c r="D197" s="1">
        <v>84</v>
      </c>
      <c r="E197" s="1">
        <v>70</v>
      </c>
      <c r="F197" s="1">
        <v>14</v>
      </c>
      <c r="G197" s="1"/>
      <c r="H197" s="1"/>
      <c r="I197" s="1"/>
      <c r="J197" s="1"/>
    </row>
    <row r="198" spans="1:10" x14ac:dyDescent="0.3">
      <c r="A198">
        <v>15</v>
      </c>
      <c r="B198" s="1">
        <v>2020</v>
      </c>
      <c r="C198" s="1" t="s">
        <v>0</v>
      </c>
      <c r="D198" s="1">
        <v>61</v>
      </c>
      <c r="E198" s="1">
        <v>46</v>
      </c>
      <c r="F198" s="1">
        <v>15</v>
      </c>
      <c r="G198" s="1"/>
      <c r="H198" s="1"/>
      <c r="I198" s="1"/>
      <c r="J198" s="1"/>
    </row>
    <row r="199" spans="1:10" x14ac:dyDescent="0.3">
      <c r="A199">
        <v>15</v>
      </c>
      <c r="B199" s="1">
        <v>2021</v>
      </c>
      <c r="C199" s="1" t="s">
        <v>0</v>
      </c>
      <c r="D199" s="1">
        <v>47</v>
      </c>
      <c r="E199" s="1">
        <v>40</v>
      </c>
      <c r="F199" s="1">
        <v>7</v>
      </c>
      <c r="G199" s="1"/>
      <c r="H199" s="1"/>
      <c r="I199" s="1"/>
      <c r="J199" s="1"/>
    </row>
    <row r="200" spans="1:10" x14ac:dyDescent="0.3">
      <c r="A200">
        <v>15</v>
      </c>
      <c r="B200" s="1">
        <v>2022</v>
      </c>
      <c r="C200" s="1" t="s">
        <v>0</v>
      </c>
      <c r="D200" s="1">
        <v>50</v>
      </c>
      <c r="E200" s="1">
        <v>43</v>
      </c>
      <c r="F200" s="1">
        <v>7</v>
      </c>
      <c r="G200" s="1"/>
      <c r="H200" s="1"/>
      <c r="I200" s="1"/>
      <c r="J200" s="1"/>
    </row>
    <row r="201" spans="1:10" x14ac:dyDescent="0.3">
      <c r="A201">
        <v>15</v>
      </c>
      <c r="B201" s="1">
        <v>2023</v>
      </c>
      <c r="C201" s="1" t="s">
        <v>0</v>
      </c>
      <c r="D201" s="1">
        <v>31</v>
      </c>
      <c r="E201" s="1">
        <v>28</v>
      </c>
      <c r="F201" s="1">
        <v>3</v>
      </c>
      <c r="G201" s="1"/>
      <c r="H201" s="1"/>
      <c r="I201" s="1"/>
      <c r="J201" s="1"/>
    </row>
    <row r="202" spans="1:10" x14ac:dyDescent="0.3">
      <c r="A202">
        <v>15</v>
      </c>
      <c r="B202" s="1">
        <v>2024</v>
      </c>
      <c r="C202" s="1" t="s">
        <v>0</v>
      </c>
      <c r="D202" s="1">
        <v>38</v>
      </c>
      <c r="E202" s="1">
        <v>34</v>
      </c>
      <c r="F202" s="1">
        <v>4</v>
      </c>
      <c r="G202" s="1"/>
      <c r="H202" s="1"/>
      <c r="I202" s="1"/>
      <c r="J202" s="1"/>
    </row>
    <row r="203" spans="1:10" x14ac:dyDescent="0.3">
      <c r="A203" s="3">
        <v>20</v>
      </c>
      <c r="B203" s="1">
        <v>1990</v>
      </c>
      <c r="C203" s="1" t="s">
        <v>0</v>
      </c>
      <c r="D203" s="1">
        <v>101</v>
      </c>
      <c r="E203" s="1">
        <v>94</v>
      </c>
      <c r="F203" s="1">
        <v>7</v>
      </c>
      <c r="G203" s="1"/>
      <c r="H203" s="1"/>
      <c r="I203" s="1"/>
      <c r="J203" s="1"/>
    </row>
    <row r="204" spans="1:10" x14ac:dyDescent="0.3">
      <c r="A204">
        <v>20</v>
      </c>
      <c r="B204" s="1">
        <v>1991</v>
      </c>
      <c r="C204" s="1" t="s">
        <v>0</v>
      </c>
      <c r="D204" s="1">
        <v>116</v>
      </c>
      <c r="E204" s="1">
        <v>108</v>
      </c>
      <c r="F204" s="1">
        <v>8</v>
      </c>
      <c r="G204" s="1"/>
      <c r="H204" s="1"/>
      <c r="I204" s="1"/>
      <c r="J204" s="1"/>
    </row>
    <row r="205" spans="1:10" x14ac:dyDescent="0.3">
      <c r="A205">
        <v>20</v>
      </c>
      <c r="B205" s="1">
        <v>1992</v>
      </c>
      <c r="C205" s="1" t="s">
        <v>0</v>
      </c>
      <c r="D205" s="1">
        <v>137</v>
      </c>
      <c r="E205" s="1">
        <v>126</v>
      </c>
      <c r="F205" s="1">
        <v>11</v>
      </c>
      <c r="G205" s="1"/>
      <c r="H205" s="1"/>
      <c r="I205" s="1"/>
      <c r="J205" s="1"/>
    </row>
    <row r="206" spans="1:10" x14ac:dyDescent="0.3">
      <c r="A206">
        <v>20</v>
      </c>
      <c r="B206" s="1">
        <v>1993</v>
      </c>
      <c r="C206" s="1" t="s">
        <v>0</v>
      </c>
      <c r="D206" s="1">
        <v>114</v>
      </c>
      <c r="E206" s="1">
        <v>104</v>
      </c>
      <c r="F206" s="1">
        <v>10</v>
      </c>
      <c r="G206" s="1"/>
      <c r="H206" s="1"/>
      <c r="I206" s="1"/>
      <c r="J206" s="1"/>
    </row>
    <row r="207" spans="1:10" x14ac:dyDescent="0.3">
      <c r="A207">
        <v>20</v>
      </c>
      <c r="B207" s="1">
        <v>1994</v>
      </c>
      <c r="C207" s="1" t="s">
        <v>0</v>
      </c>
      <c r="D207" s="1">
        <v>112</v>
      </c>
      <c r="E207" s="1">
        <v>104</v>
      </c>
      <c r="F207" s="1">
        <v>8</v>
      </c>
      <c r="G207" s="1"/>
      <c r="H207" s="1"/>
      <c r="I207" s="1"/>
      <c r="J207" s="1"/>
    </row>
    <row r="208" spans="1:10" x14ac:dyDescent="0.3">
      <c r="A208">
        <v>20</v>
      </c>
      <c r="B208" s="1">
        <v>1995</v>
      </c>
      <c r="C208" s="1" t="s">
        <v>0</v>
      </c>
      <c r="D208" s="1">
        <v>88</v>
      </c>
      <c r="E208" s="1">
        <v>80</v>
      </c>
      <c r="F208" s="1">
        <v>8</v>
      </c>
      <c r="G208" s="1"/>
      <c r="H208" s="1"/>
      <c r="I208" s="1"/>
      <c r="J208" s="1"/>
    </row>
    <row r="209" spans="1:10" x14ac:dyDescent="0.3">
      <c r="A209">
        <v>20</v>
      </c>
      <c r="B209" s="1">
        <v>1996</v>
      </c>
      <c r="C209" s="1" t="s">
        <v>0</v>
      </c>
      <c r="D209" s="1">
        <v>89</v>
      </c>
      <c r="E209" s="1">
        <v>84</v>
      </c>
      <c r="F209" s="1">
        <v>5</v>
      </c>
      <c r="G209" s="1"/>
      <c r="H209" s="1"/>
      <c r="I209" s="1"/>
      <c r="J209" s="1"/>
    </row>
    <row r="210" spans="1:10" x14ac:dyDescent="0.3">
      <c r="A210">
        <v>20</v>
      </c>
      <c r="B210" s="1">
        <v>1997</v>
      </c>
      <c r="C210" s="1" t="s">
        <v>0</v>
      </c>
      <c r="D210" s="1">
        <v>85</v>
      </c>
      <c r="E210" s="1">
        <v>78</v>
      </c>
      <c r="F210" s="1">
        <v>7</v>
      </c>
      <c r="G210" s="1"/>
      <c r="H210" s="1"/>
      <c r="I210" s="1"/>
      <c r="J210" s="1"/>
    </row>
    <row r="211" spans="1:10" x14ac:dyDescent="0.3">
      <c r="A211">
        <v>20</v>
      </c>
      <c r="B211" s="1">
        <v>1998</v>
      </c>
      <c r="C211" s="1" t="s">
        <v>0</v>
      </c>
      <c r="D211" s="1">
        <v>54</v>
      </c>
      <c r="E211" s="1">
        <v>49</v>
      </c>
      <c r="F211" s="1">
        <v>5</v>
      </c>
      <c r="G211" s="1"/>
      <c r="H211" s="1"/>
      <c r="I211" s="1"/>
      <c r="J211" s="1"/>
    </row>
    <row r="212" spans="1:10" x14ac:dyDescent="0.3">
      <c r="A212">
        <v>20</v>
      </c>
      <c r="B212" s="1">
        <v>1999</v>
      </c>
      <c r="C212" s="1" t="s">
        <v>0</v>
      </c>
      <c r="D212" s="1">
        <v>44</v>
      </c>
      <c r="E212" s="1">
        <v>38</v>
      </c>
      <c r="F212" s="1">
        <v>6</v>
      </c>
      <c r="G212" s="1"/>
      <c r="H212" s="1"/>
      <c r="I212" s="1"/>
      <c r="J212" s="1"/>
    </row>
    <row r="213" spans="1:10" x14ac:dyDescent="0.3">
      <c r="A213">
        <v>20</v>
      </c>
      <c r="B213" s="1">
        <v>2000</v>
      </c>
      <c r="C213" s="1" t="s">
        <v>0</v>
      </c>
      <c r="D213" s="1">
        <v>58</v>
      </c>
      <c r="E213" s="1">
        <v>51</v>
      </c>
      <c r="F213" s="1">
        <v>7</v>
      </c>
      <c r="G213" s="1"/>
      <c r="H213" s="1"/>
      <c r="I213" s="1"/>
      <c r="J213" s="1"/>
    </row>
    <row r="214" spans="1:10" x14ac:dyDescent="0.3">
      <c r="A214">
        <v>20</v>
      </c>
      <c r="B214" s="1">
        <v>2001</v>
      </c>
      <c r="C214" s="1" t="s">
        <v>0</v>
      </c>
      <c r="D214" s="1">
        <v>54</v>
      </c>
      <c r="E214" s="1">
        <v>49</v>
      </c>
      <c r="F214" s="1">
        <v>5</v>
      </c>
      <c r="G214" s="1"/>
      <c r="H214" s="1"/>
      <c r="I214" s="1"/>
      <c r="J214" s="1"/>
    </row>
    <row r="215" spans="1:10" x14ac:dyDescent="0.3">
      <c r="A215">
        <v>20</v>
      </c>
      <c r="B215" s="1">
        <v>2002</v>
      </c>
      <c r="C215" s="1" t="s">
        <v>0</v>
      </c>
      <c r="D215" s="1">
        <v>33</v>
      </c>
      <c r="E215" s="1">
        <v>27</v>
      </c>
      <c r="F215" s="1">
        <v>6</v>
      </c>
      <c r="G215" s="1"/>
      <c r="H215" s="1"/>
      <c r="I215" s="1"/>
      <c r="J215" s="1"/>
    </row>
    <row r="216" spans="1:10" x14ac:dyDescent="0.3">
      <c r="A216">
        <v>20</v>
      </c>
      <c r="B216" s="1">
        <v>2003</v>
      </c>
      <c r="C216" s="1" t="s">
        <v>0</v>
      </c>
      <c r="D216" s="1">
        <v>39</v>
      </c>
      <c r="E216" s="1">
        <v>33</v>
      </c>
      <c r="F216" s="1">
        <v>6</v>
      </c>
      <c r="G216" s="1"/>
      <c r="H216" s="1"/>
      <c r="I216" s="1"/>
      <c r="J216" s="1"/>
    </row>
    <row r="217" spans="1:10" x14ac:dyDescent="0.3">
      <c r="A217">
        <v>20</v>
      </c>
      <c r="B217" s="1">
        <v>2004</v>
      </c>
      <c r="C217" s="1" t="s">
        <v>0</v>
      </c>
      <c r="D217" s="1">
        <v>37</v>
      </c>
      <c r="E217" s="1">
        <v>29</v>
      </c>
      <c r="F217" s="1">
        <v>8</v>
      </c>
      <c r="G217" s="1"/>
      <c r="H217" s="1"/>
      <c r="I217" s="1"/>
      <c r="J217" s="1"/>
    </row>
    <row r="218" spans="1:10" x14ac:dyDescent="0.3">
      <c r="A218">
        <v>20</v>
      </c>
      <c r="B218" s="1">
        <v>2005</v>
      </c>
      <c r="C218" s="1" t="s">
        <v>0</v>
      </c>
      <c r="D218" s="1">
        <v>48</v>
      </c>
      <c r="E218" s="1">
        <v>40</v>
      </c>
      <c r="F218" s="1">
        <v>8</v>
      </c>
      <c r="G218" s="1"/>
      <c r="H218" s="1"/>
      <c r="I218" s="1"/>
      <c r="J218" s="1"/>
    </row>
    <row r="219" spans="1:10" x14ac:dyDescent="0.3">
      <c r="A219">
        <v>20</v>
      </c>
      <c r="B219" s="1">
        <v>2006</v>
      </c>
      <c r="C219" s="1" t="s">
        <v>0</v>
      </c>
      <c r="D219" s="1">
        <v>32</v>
      </c>
      <c r="E219" s="1">
        <v>29</v>
      </c>
      <c r="F219" s="1">
        <v>3</v>
      </c>
      <c r="G219" s="1"/>
      <c r="H219" s="1"/>
      <c r="I219" s="1"/>
      <c r="J219" s="1"/>
    </row>
    <row r="220" spans="1:10" x14ac:dyDescent="0.3">
      <c r="A220">
        <v>20</v>
      </c>
      <c r="B220" s="1">
        <v>2007</v>
      </c>
      <c r="C220" s="1" t="s">
        <v>0</v>
      </c>
      <c r="D220" s="1">
        <v>38</v>
      </c>
      <c r="E220" s="1">
        <v>34</v>
      </c>
      <c r="F220" s="1">
        <v>4</v>
      </c>
      <c r="G220" s="1"/>
      <c r="H220" s="1"/>
      <c r="I220" s="1"/>
      <c r="J220" s="1"/>
    </row>
    <row r="221" spans="1:10" x14ac:dyDescent="0.3">
      <c r="A221">
        <v>20</v>
      </c>
      <c r="B221" s="1">
        <v>2008</v>
      </c>
      <c r="C221" s="1" t="s">
        <v>0</v>
      </c>
      <c r="D221" s="1">
        <v>35</v>
      </c>
      <c r="E221" s="1">
        <v>29</v>
      </c>
      <c r="F221" s="1">
        <v>6</v>
      </c>
      <c r="G221" s="1"/>
      <c r="H221" s="1"/>
      <c r="I221" s="1"/>
      <c r="J221" s="1"/>
    </row>
    <row r="222" spans="1:10" x14ac:dyDescent="0.3">
      <c r="A222">
        <v>20</v>
      </c>
      <c r="B222" s="1">
        <v>2009</v>
      </c>
      <c r="C222" s="1" t="s">
        <v>0</v>
      </c>
      <c r="D222" s="1">
        <v>78</v>
      </c>
      <c r="E222" s="1">
        <v>63</v>
      </c>
      <c r="F222" s="1">
        <v>15</v>
      </c>
      <c r="G222" s="1"/>
      <c r="H222" s="1"/>
      <c r="I222" s="1"/>
      <c r="J222" s="1"/>
    </row>
    <row r="223" spans="1:10" x14ac:dyDescent="0.3">
      <c r="A223">
        <v>20</v>
      </c>
      <c r="B223" s="1">
        <v>2010</v>
      </c>
      <c r="C223" s="1" t="s">
        <v>0</v>
      </c>
      <c r="D223" s="1">
        <v>50</v>
      </c>
      <c r="E223" s="1">
        <v>42</v>
      </c>
      <c r="F223" s="1">
        <v>8</v>
      </c>
      <c r="G223" s="1"/>
      <c r="H223" s="1"/>
      <c r="I223" s="1"/>
      <c r="J223" s="1"/>
    </row>
    <row r="224" spans="1:10" x14ac:dyDescent="0.3">
      <c r="A224">
        <v>20</v>
      </c>
      <c r="B224" s="1">
        <v>2011</v>
      </c>
      <c r="C224" s="1" t="s">
        <v>0</v>
      </c>
      <c r="D224" s="1">
        <v>157</v>
      </c>
      <c r="E224" s="1">
        <v>138</v>
      </c>
      <c r="F224" s="1">
        <v>19</v>
      </c>
      <c r="G224" s="1"/>
      <c r="H224" s="1"/>
      <c r="I224" s="1"/>
      <c r="J224" s="1"/>
    </row>
    <row r="225" spans="1:10" x14ac:dyDescent="0.3">
      <c r="A225">
        <v>20</v>
      </c>
      <c r="B225" s="1">
        <v>2012</v>
      </c>
      <c r="C225" s="1" t="s">
        <v>0</v>
      </c>
      <c r="D225" s="1">
        <v>127</v>
      </c>
      <c r="E225" s="1">
        <v>115</v>
      </c>
      <c r="F225" s="1">
        <v>12</v>
      </c>
      <c r="G225" s="1"/>
      <c r="H225" s="1"/>
      <c r="I225" s="1"/>
      <c r="J225" s="1"/>
    </row>
    <row r="226" spans="1:10" x14ac:dyDescent="0.3">
      <c r="A226">
        <v>20</v>
      </c>
      <c r="B226" s="1">
        <v>2013</v>
      </c>
      <c r="C226" s="1" t="s">
        <v>0</v>
      </c>
      <c r="D226" s="1">
        <v>123</v>
      </c>
      <c r="E226" s="1">
        <v>109</v>
      </c>
      <c r="F226" s="1">
        <v>14</v>
      </c>
      <c r="G226" s="1"/>
      <c r="H226" s="1"/>
      <c r="I226" s="1"/>
      <c r="J226" s="1"/>
    </row>
    <row r="227" spans="1:10" x14ac:dyDescent="0.3">
      <c r="A227">
        <v>20</v>
      </c>
      <c r="B227" s="1">
        <v>2014</v>
      </c>
      <c r="C227" s="1" t="s">
        <v>0</v>
      </c>
      <c r="D227" s="1">
        <v>108</v>
      </c>
      <c r="E227" s="1">
        <v>92</v>
      </c>
      <c r="F227" s="1">
        <v>16</v>
      </c>
      <c r="G227" s="1"/>
      <c r="H227" s="1"/>
      <c r="I227" s="1"/>
      <c r="J227" s="1"/>
    </row>
    <row r="228" spans="1:10" x14ac:dyDescent="0.3">
      <c r="A228">
        <v>20</v>
      </c>
      <c r="B228" s="1">
        <v>2015</v>
      </c>
      <c r="C228" s="1" t="s">
        <v>0</v>
      </c>
      <c r="D228" s="1">
        <v>158</v>
      </c>
      <c r="E228" s="1">
        <v>145</v>
      </c>
      <c r="F228" s="1">
        <v>13</v>
      </c>
      <c r="G228" s="1"/>
      <c r="H228" s="1"/>
      <c r="I228" s="1"/>
      <c r="J228" s="1"/>
    </row>
    <row r="229" spans="1:10" x14ac:dyDescent="0.3">
      <c r="A229">
        <v>20</v>
      </c>
      <c r="B229" s="1">
        <v>2016</v>
      </c>
      <c r="C229" s="1" t="s">
        <v>0</v>
      </c>
      <c r="D229" s="1">
        <v>209</v>
      </c>
      <c r="E229" s="1">
        <v>187</v>
      </c>
      <c r="F229" s="1">
        <v>22</v>
      </c>
      <c r="G229" s="1"/>
      <c r="H229" s="1"/>
      <c r="I229" s="1"/>
      <c r="J229" s="1"/>
    </row>
    <row r="230" spans="1:10" x14ac:dyDescent="0.3">
      <c r="A230">
        <v>20</v>
      </c>
      <c r="B230" s="1">
        <v>2017</v>
      </c>
      <c r="C230" s="1" t="s">
        <v>0</v>
      </c>
      <c r="D230" s="1">
        <v>271</v>
      </c>
      <c r="E230" s="1">
        <v>232</v>
      </c>
      <c r="F230" s="1">
        <v>39</v>
      </c>
      <c r="G230" s="1"/>
      <c r="H230" s="1"/>
      <c r="I230" s="1"/>
      <c r="J230" s="1"/>
    </row>
    <row r="231" spans="1:10" x14ac:dyDescent="0.3">
      <c r="A231">
        <v>20</v>
      </c>
      <c r="B231" s="1">
        <v>2018</v>
      </c>
      <c r="C231" s="1" t="s">
        <v>0</v>
      </c>
      <c r="D231" s="1">
        <v>223</v>
      </c>
      <c r="E231" s="1">
        <v>204</v>
      </c>
      <c r="F231" s="1">
        <v>19</v>
      </c>
      <c r="G231" s="1"/>
      <c r="H231" s="1"/>
      <c r="I231" s="1"/>
      <c r="J231" s="1"/>
    </row>
    <row r="232" spans="1:10" x14ac:dyDescent="0.3">
      <c r="A232">
        <v>20</v>
      </c>
      <c r="B232" s="1">
        <v>2019</v>
      </c>
      <c r="C232" s="1" t="s">
        <v>0</v>
      </c>
      <c r="D232" s="1">
        <v>211</v>
      </c>
      <c r="E232" s="1">
        <v>189</v>
      </c>
      <c r="F232" s="1">
        <v>22</v>
      </c>
      <c r="G232" s="1"/>
      <c r="H232" s="1"/>
      <c r="I232" s="1"/>
      <c r="J232" s="1"/>
    </row>
    <row r="233" spans="1:10" x14ac:dyDescent="0.3">
      <c r="A233">
        <v>20</v>
      </c>
      <c r="B233" s="1">
        <v>2020</v>
      </c>
      <c r="C233" s="1" t="s">
        <v>0</v>
      </c>
      <c r="D233" s="1">
        <v>162</v>
      </c>
      <c r="E233" s="1">
        <v>141</v>
      </c>
      <c r="F233" s="1">
        <v>21</v>
      </c>
      <c r="G233" s="1"/>
      <c r="H233" s="1"/>
      <c r="I233" s="1"/>
      <c r="J233" s="1"/>
    </row>
    <row r="234" spans="1:10" x14ac:dyDescent="0.3">
      <c r="A234">
        <v>20</v>
      </c>
      <c r="B234" s="1">
        <v>2021</v>
      </c>
      <c r="C234" s="1" t="s">
        <v>0</v>
      </c>
      <c r="D234" s="1">
        <v>121</v>
      </c>
      <c r="E234" s="1">
        <v>110</v>
      </c>
      <c r="F234" s="1">
        <v>11</v>
      </c>
      <c r="G234" s="1"/>
      <c r="H234" s="1"/>
      <c r="I234" s="1"/>
      <c r="J234" s="1"/>
    </row>
    <row r="235" spans="1:10" x14ac:dyDescent="0.3">
      <c r="A235">
        <v>20</v>
      </c>
      <c r="B235" s="1">
        <v>2022</v>
      </c>
      <c r="C235" s="1" t="s">
        <v>0</v>
      </c>
      <c r="D235" s="1">
        <v>101</v>
      </c>
      <c r="E235" s="1">
        <v>86</v>
      </c>
      <c r="F235" s="1">
        <v>15</v>
      </c>
      <c r="G235" s="1"/>
      <c r="H235" s="1"/>
      <c r="I235" s="1"/>
      <c r="J235" s="1"/>
    </row>
    <row r="236" spans="1:10" x14ac:dyDescent="0.3">
      <c r="A236">
        <v>20</v>
      </c>
      <c r="B236" s="1">
        <v>2023</v>
      </c>
      <c r="C236" s="1" t="s">
        <v>0</v>
      </c>
      <c r="D236" s="1">
        <v>117</v>
      </c>
      <c r="E236" s="1">
        <v>96</v>
      </c>
      <c r="F236" s="1">
        <v>21</v>
      </c>
      <c r="G236" s="1"/>
      <c r="H236" s="1"/>
      <c r="I236" s="1"/>
      <c r="J236" s="1"/>
    </row>
    <row r="237" spans="1:10" x14ac:dyDescent="0.3">
      <c r="A237">
        <v>20</v>
      </c>
      <c r="B237" s="1">
        <v>2024</v>
      </c>
      <c r="C237" s="1" t="s">
        <v>0</v>
      </c>
      <c r="D237" s="1">
        <v>109</v>
      </c>
      <c r="E237" s="1">
        <v>96</v>
      </c>
      <c r="F237" s="1">
        <v>13</v>
      </c>
      <c r="G237" s="1"/>
      <c r="H237" s="1"/>
      <c r="I237" s="1"/>
      <c r="J237" s="1"/>
    </row>
    <row r="238" spans="1:10" x14ac:dyDescent="0.3">
      <c r="A238" s="3">
        <v>25</v>
      </c>
      <c r="B238" s="1">
        <v>1990</v>
      </c>
      <c r="C238" s="1" t="s">
        <v>0</v>
      </c>
      <c r="D238" s="1">
        <v>113</v>
      </c>
      <c r="E238" s="1">
        <v>102</v>
      </c>
      <c r="F238" s="1">
        <v>11</v>
      </c>
      <c r="G238" s="1"/>
      <c r="H238" s="1"/>
      <c r="I238" s="1"/>
      <c r="J238" s="1"/>
    </row>
    <row r="239" spans="1:10" x14ac:dyDescent="0.3">
      <c r="A239">
        <v>25</v>
      </c>
      <c r="B239" s="1">
        <v>1991</v>
      </c>
      <c r="C239" s="1" t="s">
        <v>0</v>
      </c>
      <c r="D239" s="1">
        <v>131</v>
      </c>
      <c r="E239" s="1">
        <v>118</v>
      </c>
      <c r="F239" s="1">
        <v>13</v>
      </c>
      <c r="G239" s="1"/>
      <c r="H239" s="1"/>
      <c r="I239" s="1"/>
      <c r="J239" s="1"/>
    </row>
    <row r="240" spans="1:10" x14ac:dyDescent="0.3">
      <c r="A240">
        <v>25</v>
      </c>
      <c r="B240" s="1">
        <v>1992</v>
      </c>
      <c r="C240" s="1" t="s">
        <v>0</v>
      </c>
      <c r="D240" s="1">
        <v>100</v>
      </c>
      <c r="E240" s="1">
        <v>93</v>
      </c>
      <c r="F240" s="1">
        <v>7</v>
      </c>
      <c r="G240" s="1"/>
      <c r="H240" s="1"/>
      <c r="I240" s="1"/>
      <c r="J240" s="1"/>
    </row>
    <row r="241" spans="1:10" x14ac:dyDescent="0.3">
      <c r="A241">
        <v>25</v>
      </c>
      <c r="B241" s="1">
        <v>1993</v>
      </c>
      <c r="C241" s="1" t="s">
        <v>0</v>
      </c>
      <c r="D241" s="1">
        <v>125</v>
      </c>
      <c r="E241" s="1">
        <v>119</v>
      </c>
      <c r="F241" s="1">
        <v>6</v>
      </c>
      <c r="G241" s="1"/>
      <c r="H241" s="1"/>
      <c r="I241" s="1"/>
      <c r="J241" s="1"/>
    </row>
    <row r="242" spans="1:10" x14ac:dyDescent="0.3">
      <c r="A242">
        <v>25</v>
      </c>
      <c r="B242" s="1">
        <v>1994</v>
      </c>
      <c r="C242" s="1" t="s">
        <v>0</v>
      </c>
      <c r="D242" s="1">
        <v>109</v>
      </c>
      <c r="E242" s="1">
        <v>107</v>
      </c>
      <c r="F242" s="1">
        <v>2</v>
      </c>
      <c r="G242" s="1"/>
      <c r="H242" s="1"/>
      <c r="I242" s="1"/>
      <c r="J242" s="1"/>
    </row>
    <row r="243" spans="1:10" x14ac:dyDescent="0.3">
      <c r="A243">
        <v>25</v>
      </c>
      <c r="B243" s="1">
        <v>1995</v>
      </c>
      <c r="C243" s="1" t="s">
        <v>0</v>
      </c>
      <c r="D243" s="1">
        <v>84</v>
      </c>
      <c r="E243" s="1">
        <v>78</v>
      </c>
      <c r="F243" s="1">
        <v>6</v>
      </c>
      <c r="G243" s="1"/>
      <c r="H243" s="1"/>
      <c r="I243" s="1"/>
      <c r="J243" s="1"/>
    </row>
    <row r="244" spans="1:10" x14ac:dyDescent="0.3">
      <c r="A244">
        <v>25</v>
      </c>
      <c r="B244" s="1">
        <v>1996</v>
      </c>
      <c r="C244" s="1" t="s">
        <v>0</v>
      </c>
      <c r="D244" s="1">
        <v>83</v>
      </c>
      <c r="E244" s="1">
        <v>79</v>
      </c>
      <c r="F244" s="1">
        <v>4</v>
      </c>
      <c r="G244" s="1"/>
      <c r="H244" s="1"/>
      <c r="I244" s="1"/>
      <c r="J244" s="1"/>
    </row>
    <row r="245" spans="1:10" x14ac:dyDescent="0.3">
      <c r="A245">
        <v>25</v>
      </c>
      <c r="B245" s="1">
        <v>1997</v>
      </c>
      <c r="C245" s="1" t="s">
        <v>0</v>
      </c>
      <c r="D245" s="1">
        <v>107</v>
      </c>
      <c r="E245" s="1">
        <v>101</v>
      </c>
      <c r="F245" s="1">
        <v>6</v>
      </c>
      <c r="G245" s="1"/>
      <c r="H245" s="1"/>
      <c r="I245" s="1"/>
      <c r="J245" s="1"/>
    </row>
    <row r="246" spans="1:10" x14ac:dyDescent="0.3">
      <c r="A246">
        <v>25</v>
      </c>
      <c r="B246" s="1">
        <v>1998</v>
      </c>
      <c r="C246" s="1" t="s">
        <v>0</v>
      </c>
      <c r="D246" s="1">
        <v>75</v>
      </c>
      <c r="E246" s="1">
        <v>69</v>
      </c>
      <c r="F246" s="1">
        <v>6</v>
      </c>
      <c r="G246" s="1"/>
      <c r="H246" s="1"/>
      <c r="I246" s="1"/>
      <c r="J246" s="1"/>
    </row>
    <row r="247" spans="1:10" x14ac:dyDescent="0.3">
      <c r="A247">
        <v>25</v>
      </c>
      <c r="B247" s="1">
        <v>1999</v>
      </c>
      <c r="C247" s="1" t="s">
        <v>0</v>
      </c>
      <c r="D247" s="1">
        <v>64</v>
      </c>
      <c r="E247" s="1">
        <v>62</v>
      </c>
      <c r="F247" s="1">
        <v>2</v>
      </c>
      <c r="G247" s="1"/>
      <c r="H247" s="1"/>
      <c r="I247" s="1"/>
      <c r="J247" s="1"/>
    </row>
    <row r="248" spans="1:10" x14ac:dyDescent="0.3">
      <c r="A248">
        <v>25</v>
      </c>
      <c r="B248" s="1">
        <v>2000</v>
      </c>
      <c r="C248" s="1" t="s">
        <v>0</v>
      </c>
      <c r="D248" s="1">
        <v>67</v>
      </c>
      <c r="E248" s="1">
        <v>63</v>
      </c>
      <c r="F248" s="1">
        <v>4</v>
      </c>
      <c r="G248" s="1"/>
      <c r="H248" s="1"/>
      <c r="I248" s="1"/>
      <c r="J248" s="1"/>
    </row>
    <row r="249" spans="1:10" x14ac:dyDescent="0.3">
      <c r="A249">
        <v>25</v>
      </c>
      <c r="B249" s="1">
        <v>2001</v>
      </c>
      <c r="C249" s="1" t="s">
        <v>0</v>
      </c>
      <c r="D249" s="1">
        <v>45</v>
      </c>
      <c r="E249" s="1">
        <v>41</v>
      </c>
      <c r="F249" s="1">
        <v>4</v>
      </c>
      <c r="G249" s="1"/>
      <c r="H249" s="1"/>
      <c r="I249" s="1"/>
      <c r="J249" s="1"/>
    </row>
    <row r="250" spans="1:10" x14ac:dyDescent="0.3">
      <c r="A250">
        <v>25</v>
      </c>
      <c r="B250" s="1">
        <v>2002</v>
      </c>
      <c r="C250" s="1" t="s">
        <v>0</v>
      </c>
      <c r="D250" s="1">
        <v>41</v>
      </c>
      <c r="E250" s="1">
        <v>36</v>
      </c>
      <c r="F250" s="1">
        <v>5</v>
      </c>
      <c r="G250" s="1"/>
      <c r="H250" s="1"/>
      <c r="I250" s="1"/>
      <c r="J250" s="1"/>
    </row>
    <row r="251" spans="1:10" x14ac:dyDescent="0.3">
      <c r="A251">
        <v>25</v>
      </c>
      <c r="B251" s="1">
        <v>2003</v>
      </c>
      <c r="C251" s="1" t="s">
        <v>0</v>
      </c>
      <c r="D251" s="1">
        <v>48</v>
      </c>
      <c r="E251" s="1">
        <v>43</v>
      </c>
      <c r="F251" s="1">
        <v>5</v>
      </c>
      <c r="G251" s="1"/>
      <c r="H251" s="1"/>
      <c r="I251" s="1"/>
      <c r="J251" s="1"/>
    </row>
    <row r="252" spans="1:10" x14ac:dyDescent="0.3">
      <c r="A252">
        <v>25</v>
      </c>
      <c r="B252" s="1">
        <v>2004</v>
      </c>
      <c r="C252" s="1" t="s">
        <v>0</v>
      </c>
      <c r="D252" s="1">
        <v>39</v>
      </c>
      <c r="E252" s="1">
        <v>35</v>
      </c>
      <c r="F252" s="1">
        <v>4</v>
      </c>
      <c r="G252" s="1"/>
      <c r="H252" s="1"/>
      <c r="I252" s="1"/>
      <c r="J252" s="1"/>
    </row>
    <row r="253" spans="1:10" x14ac:dyDescent="0.3">
      <c r="A253">
        <v>25</v>
      </c>
      <c r="B253" s="1">
        <v>2005</v>
      </c>
      <c r="C253" s="1" t="s">
        <v>0</v>
      </c>
      <c r="D253" s="1">
        <v>36</v>
      </c>
      <c r="E253" s="1">
        <v>31</v>
      </c>
      <c r="F253" s="1">
        <v>5</v>
      </c>
      <c r="G253" s="1"/>
      <c r="H253" s="1"/>
      <c r="I253" s="1"/>
      <c r="J253" s="1"/>
    </row>
    <row r="254" spans="1:10" x14ac:dyDescent="0.3">
      <c r="A254">
        <v>25</v>
      </c>
      <c r="B254" s="1">
        <v>2006</v>
      </c>
      <c r="C254" s="1" t="s">
        <v>0</v>
      </c>
      <c r="D254" s="1">
        <v>42</v>
      </c>
      <c r="E254" s="1">
        <v>34</v>
      </c>
      <c r="F254" s="1">
        <v>8</v>
      </c>
      <c r="G254" s="1"/>
      <c r="H254" s="1"/>
      <c r="I254" s="1"/>
      <c r="J254" s="1"/>
    </row>
    <row r="255" spans="1:10" x14ac:dyDescent="0.3">
      <c r="A255">
        <v>25</v>
      </c>
      <c r="B255" s="1">
        <v>2007</v>
      </c>
      <c r="C255" s="1" t="s">
        <v>0</v>
      </c>
      <c r="D255" s="1">
        <v>33</v>
      </c>
      <c r="E255" s="1">
        <v>29</v>
      </c>
      <c r="F255" s="1">
        <v>4</v>
      </c>
      <c r="G255" s="1"/>
      <c r="H255" s="1"/>
      <c r="I255" s="1"/>
      <c r="J255" s="1"/>
    </row>
    <row r="256" spans="1:10" x14ac:dyDescent="0.3">
      <c r="A256">
        <v>25</v>
      </c>
      <c r="B256" s="1">
        <v>2008</v>
      </c>
      <c r="C256" s="1" t="s">
        <v>0</v>
      </c>
      <c r="D256" s="1">
        <v>46</v>
      </c>
      <c r="E256" s="1">
        <v>40</v>
      </c>
      <c r="F256" s="1">
        <v>6</v>
      </c>
      <c r="G256" s="1"/>
      <c r="H256" s="1"/>
      <c r="I256" s="1"/>
      <c r="J256" s="1"/>
    </row>
    <row r="257" spans="1:10" x14ac:dyDescent="0.3">
      <c r="A257">
        <v>25</v>
      </c>
      <c r="B257" s="1">
        <v>2009</v>
      </c>
      <c r="C257" s="1" t="s">
        <v>0</v>
      </c>
      <c r="D257" s="1">
        <v>91</v>
      </c>
      <c r="E257" s="1">
        <v>78</v>
      </c>
      <c r="F257" s="1">
        <v>13</v>
      </c>
      <c r="G257" s="1"/>
      <c r="H257" s="1"/>
      <c r="I257" s="1"/>
      <c r="J257" s="1"/>
    </row>
    <row r="258" spans="1:10" x14ac:dyDescent="0.3">
      <c r="A258">
        <v>25</v>
      </c>
      <c r="B258" s="1">
        <v>2010</v>
      </c>
      <c r="C258" s="1" t="s">
        <v>0</v>
      </c>
      <c r="D258" s="1">
        <v>72</v>
      </c>
      <c r="E258" s="1">
        <v>63</v>
      </c>
      <c r="F258" s="1">
        <v>9</v>
      </c>
      <c r="G258" s="1"/>
      <c r="H258" s="1"/>
      <c r="I258" s="1"/>
      <c r="J258" s="1"/>
    </row>
    <row r="259" spans="1:10" x14ac:dyDescent="0.3">
      <c r="A259">
        <v>25</v>
      </c>
      <c r="B259" s="1">
        <v>2011</v>
      </c>
      <c r="C259" s="1" t="s">
        <v>0</v>
      </c>
      <c r="D259" s="1">
        <v>135</v>
      </c>
      <c r="E259" s="1">
        <v>122</v>
      </c>
      <c r="F259" s="1">
        <v>13</v>
      </c>
      <c r="G259" s="1"/>
      <c r="H259" s="1"/>
      <c r="I259" s="1"/>
      <c r="J259" s="1"/>
    </row>
    <row r="260" spans="1:10" x14ac:dyDescent="0.3">
      <c r="A260">
        <v>25</v>
      </c>
      <c r="B260" s="1">
        <v>2012</v>
      </c>
      <c r="C260" s="1" t="s">
        <v>0</v>
      </c>
      <c r="D260" s="1">
        <v>136</v>
      </c>
      <c r="E260" s="1">
        <v>116</v>
      </c>
      <c r="F260" s="1">
        <v>20</v>
      </c>
      <c r="G260" s="1"/>
      <c r="H260" s="1"/>
      <c r="I260" s="1"/>
      <c r="J260" s="1"/>
    </row>
    <row r="261" spans="1:10" x14ac:dyDescent="0.3">
      <c r="A261">
        <v>25</v>
      </c>
      <c r="B261" s="1">
        <v>2013</v>
      </c>
      <c r="C261" s="1" t="s">
        <v>0</v>
      </c>
      <c r="D261" s="1">
        <v>99</v>
      </c>
      <c r="E261" s="1">
        <v>91</v>
      </c>
      <c r="F261" s="1">
        <v>8</v>
      </c>
      <c r="G261" s="1"/>
      <c r="H261" s="1"/>
      <c r="I261" s="1"/>
      <c r="J261" s="1"/>
    </row>
    <row r="262" spans="1:10" x14ac:dyDescent="0.3">
      <c r="A262">
        <v>25</v>
      </c>
      <c r="B262" s="1">
        <v>2014</v>
      </c>
      <c r="C262" s="1" t="s">
        <v>0</v>
      </c>
      <c r="D262" s="1">
        <v>126</v>
      </c>
      <c r="E262" s="1">
        <v>115</v>
      </c>
      <c r="F262" s="1">
        <v>11</v>
      </c>
      <c r="G262" s="1"/>
      <c r="H262" s="1"/>
      <c r="I262" s="1"/>
      <c r="J262" s="1"/>
    </row>
    <row r="263" spans="1:10" x14ac:dyDescent="0.3">
      <c r="A263">
        <v>25</v>
      </c>
      <c r="B263" s="1">
        <v>2015</v>
      </c>
      <c r="C263" s="1" t="s">
        <v>0</v>
      </c>
      <c r="D263" s="1">
        <v>151</v>
      </c>
      <c r="E263" s="1">
        <v>134</v>
      </c>
      <c r="F263" s="1">
        <v>17</v>
      </c>
      <c r="G263" s="1"/>
      <c r="H263" s="1"/>
      <c r="I263" s="1"/>
      <c r="J263" s="1"/>
    </row>
    <row r="264" spans="1:10" x14ac:dyDescent="0.3">
      <c r="A264">
        <v>25</v>
      </c>
      <c r="B264" s="1">
        <v>2016</v>
      </c>
      <c r="C264" s="1" t="s">
        <v>0</v>
      </c>
      <c r="D264" s="1">
        <v>207</v>
      </c>
      <c r="E264" s="1">
        <v>186</v>
      </c>
      <c r="F264" s="1">
        <v>19</v>
      </c>
      <c r="G264" s="1">
        <v>2</v>
      </c>
      <c r="H264" s="1"/>
      <c r="I264" s="1"/>
      <c r="J264" s="1"/>
    </row>
    <row r="265" spans="1:10" x14ac:dyDescent="0.3">
      <c r="A265">
        <v>25</v>
      </c>
      <c r="B265" s="1">
        <v>2017</v>
      </c>
      <c r="C265" s="1" t="s">
        <v>0</v>
      </c>
      <c r="D265" s="1">
        <v>297</v>
      </c>
      <c r="E265" s="1">
        <v>272</v>
      </c>
      <c r="F265" s="1">
        <v>25</v>
      </c>
      <c r="G265" s="1"/>
      <c r="H265" s="1"/>
      <c r="I265" s="1"/>
      <c r="J265" s="1"/>
    </row>
    <row r="266" spans="1:10" x14ac:dyDescent="0.3">
      <c r="A266">
        <v>25</v>
      </c>
      <c r="B266" s="1">
        <v>2018</v>
      </c>
      <c r="C266" s="1" t="s">
        <v>0</v>
      </c>
      <c r="D266" s="1">
        <v>233</v>
      </c>
      <c r="E266" s="1">
        <v>211</v>
      </c>
      <c r="F266" s="1">
        <v>22</v>
      </c>
      <c r="G266" s="1"/>
      <c r="H266" s="1"/>
      <c r="I266" s="1"/>
      <c r="J266" s="1"/>
    </row>
    <row r="267" spans="1:10" x14ac:dyDescent="0.3">
      <c r="A267">
        <v>25</v>
      </c>
      <c r="B267" s="1">
        <v>2019</v>
      </c>
      <c r="C267" s="1" t="s">
        <v>0</v>
      </c>
      <c r="D267" s="1">
        <v>248</v>
      </c>
      <c r="E267" s="1">
        <v>220</v>
      </c>
      <c r="F267" s="1">
        <v>28</v>
      </c>
      <c r="G267" s="1"/>
      <c r="H267" s="1"/>
      <c r="I267" s="1"/>
      <c r="J267" s="1"/>
    </row>
    <row r="268" spans="1:10" x14ac:dyDescent="0.3">
      <c r="A268">
        <v>25</v>
      </c>
      <c r="B268" s="1">
        <v>2020</v>
      </c>
      <c r="C268" s="1" t="s">
        <v>0</v>
      </c>
      <c r="D268" s="1">
        <v>219</v>
      </c>
      <c r="E268" s="1">
        <v>189</v>
      </c>
      <c r="F268" s="1">
        <v>30</v>
      </c>
      <c r="G268" s="1"/>
      <c r="H268" s="1"/>
      <c r="I268" s="1"/>
      <c r="J268" s="1"/>
    </row>
    <row r="269" spans="1:10" x14ac:dyDescent="0.3">
      <c r="A269">
        <v>25</v>
      </c>
      <c r="B269" s="1">
        <v>2021</v>
      </c>
      <c r="C269" s="1" t="s">
        <v>0</v>
      </c>
      <c r="D269" s="1">
        <v>144</v>
      </c>
      <c r="E269" s="1">
        <v>120</v>
      </c>
      <c r="F269" s="1">
        <v>24</v>
      </c>
      <c r="G269" s="1"/>
      <c r="H269" s="1"/>
      <c r="I269" s="1"/>
      <c r="J269" s="1"/>
    </row>
    <row r="270" spans="1:10" x14ac:dyDescent="0.3">
      <c r="A270">
        <v>25</v>
      </c>
      <c r="B270" s="1">
        <v>2022</v>
      </c>
      <c r="C270" s="1" t="s">
        <v>0</v>
      </c>
      <c r="D270" s="1">
        <v>100</v>
      </c>
      <c r="E270" s="1">
        <v>86</v>
      </c>
      <c r="F270" s="1">
        <v>14</v>
      </c>
      <c r="G270" s="1"/>
      <c r="H270" s="1"/>
      <c r="I270" s="1"/>
      <c r="J270" s="1"/>
    </row>
    <row r="271" spans="1:10" x14ac:dyDescent="0.3">
      <c r="A271">
        <v>25</v>
      </c>
      <c r="B271" s="1">
        <v>2023</v>
      </c>
      <c r="C271" s="1" t="s">
        <v>0</v>
      </c>
      <c r="D271" s="1">
        <v>115</v>
      </c>
      <c r="E271" s="1">
        <v>106</v>
      </c>
      <c r="F271" s="1">
        <v>9</v>
      </c>
      <c r="G271" s="1"/>
      <c r="H271" s="1"/>
      <c r="I271" s="1"/>
      <c r="J271" s="1"/>
    </row>
    <row r="272" spans="1:10" x14ac:dyDescent="0.3">
      <c r="A272">
        <v>25</v>
      </c>
      <c r="B272" s="1">
        <v>2024</v>
      </c>
      <c r="C272" s="1" t="s">
        <v>0</v>
      </c>
      <c r="D272" s="1">
        <v>151</v>
      </c>
      <c r="E272" s="1">
        <v>128</v>
      </c>
      <c r="F272" s="1">
        <v>23</v>
      </c>
      <c r="G272" s="1"/>
      <c r="H272" s="1"/>
      <c r="I272" s="1"/>
      <c r="J272" s="1"/>
    </row>
    <row r="273" spans="1:10" x14ac:dyDescent="0.3">
      <c r="A273" s="3">
        <v>30</v>
      </c>
      <c r="B273" s="1">
        <v>1990</v>
      </c>
      <c r="C273" s="1" t="s">
        <v>0</v>
      </c>
      <c r="D273" s="1">
        <v>84</v>
      </c>
      <c r="E273" s="1">
        <v>76</v>
      </c>
      <c r="F273" s="1">
        <v>7</v>
      </c>
      <c r="G273" s="1">
        <v>1</v>
      </c>
      <c r="H273" s="1"/>
      <c r="I273" s="1"/>
      <c r="J273" s="1"/>
    </row>
    <row r="274" spans="1:10" x14ac:dyDescent="0.3">
      <c r="A274">
        <v>30</v>
      </c>
      <c r="B274" s="1">
        <v>1991</v>
      </c>
      <c r="C274" s="1" t="s">
        <v>0</v>
      </c>
      <c r="D274" s="1">
        <v>114</v>
      </c>
      <c r="E274" s="1">
        <v>109</v>
      </c>
      <c r="F274" s="1">
        <v>5</v>
      </c>
      <c r="G274" s="1"/>
      <c r="H274" s="1"/>
      <c r="I274" s="1"/>
      <c r="J274" s="1"/>
    </row>
    <row r="275" spans="1:10" x14ac:dyDescent="0.3">
      <c r="A275">
        <v>30</v>
      </c>
      <c r="B275" s="1">
        <v>1992</v>
      </c>
      <c r="C275" s="1" t="s">
        <v>0</v>
      </c>
      <c r="D275" s="1">
        <v>114</v>
      </c>
      <c r="E275" s="1">
        <v>111</v>
      </c>
      <c r="F275" s="1">
        <v>3</v>
      </c>
      <c r="G275" s="1"/>
      <c r="H275" s="1"/>
      <c r="I275" s="1"/>
      <c r="J275" s="1"/>
    </row>
    <row r="276" spans="1:10" x14ac:dyDescent="0.3">
      <c r="A276">
        <v>30</v>
      </c>
      <c r="B276" s="1">
        <v>1993</v>
      </c>
      <c r="C276" s="1" t="s">
        <v>0</v>
      </c>
      <c r="D276" s="1">
        <v>75</v>
      </c>
      <c r="E276" s="1">
        <v>68</v>
      </c>
      <c r="F276" s="1">
        <v>7</v>
      </c>
      <c r="G276" s="1"/>
      <c r="H276" s="1"/>
      <c r="I276" s="1"/>
      <c r="J276" s="1"/>
    </row>
    <row r="277" spans="1:10" x14ac:dyDescent="0.3">
      <c r="A277">
        <v>30</v>
      </c>
      <c r="B277" s="1">
        <v>1994</v>
      </c>
      <c r="C277" s="1" t="s">
        <v>0</v>
      </c>
      <c r="D277" s="1">
        <v>85</v>
      </c>
      <c r="E277" s="1">
        <v>81</v>
      </c>
      <c r="F277" s="1">
        <v>4</v>
      </c>
      <c r="G277" s="1"/>
      <c r="H277" s="1"/>
      <c r="I277" s="1"/>
      <c r="J277" s="1"/>
    </row>
    <row r="278" spans="1:10" x14ac:dyDescent="0.3">
      <c r="A278">
        <v>30</v>
      </c>
      <c r="B278" s="1">
        <v>1995</v>
      </c>
      <c r="C278" s="1" t="s">
        <v>0</v>
      </c>
      <c r="D278" s="1">
        <v>79</v>
      </c>
      <c r="E278" s="1">
        <v>69</v>
      </c>
      <c r="F278" s="1">
        <v>10</v>
      </c>
      <c r="G278" s="1"/>
      <c r="H278" s="1"/>
      <c r="I278" s="1"/>
      <c r="J278" s="1"/>
    </row>
    <row r="279" spans="1:10" x14ac:dyDescent="0.3">
      <c r="A279">
        <v>30</v>
      </c>
      <c r="B279" s="1">
        <v>1996</v>
      </c>
      <c r="C279" s="1" t="s">
        <v>0</v>
      </c>
      <c r="D279" s="1">
        <v>87</v>
      </c>
      <c r="E279" s="1">
        <v>81</v>
      </c>
      <c r="F279" s="1">
        <v>6</v>
      </c>
      <c r="G279" s="1"/>
      <c r="H279" s="1"/>
      <c r="I279" s="1"/>
      <c r="J279" s="1"/>
    </row>
    <row r="280" spans="1:10" x14ac:dyDescent="0.3">
      <c r="A280">
        <v>30</v>
      </c>
      <c r="B280" s="1">
        <v>1997</v>
      </c>
      <c r="C280" s="1" t="s">
        <v>0</v>
      </c>
      <c r="D280" s="1">
        <v>86</v>
      </c>
      <c r="E280" s="1">
        <v>72</v>
      </c>
      <c r="F280" s="1">
        <v>14</v>
      </c>
      <c r="G280" s="1"/>
      <c r="H280" s="1"/>
      <c r="I280" s="1"/>
      <c r="J280" s="1"/>
    </row>
    <row r="281" spans="1:10" x14ac:dyDescent="0.3">
      <c r="A281">
        <v>30</v>
      </c>
      <c r="B281" s="1">
        <v>1998</v>
      </c>
      <c r="C281" s="1" t="s">
        <v>0</v>
      </c>
      <c r="D281" s="1">
        <v>69</v>
      </c>
      <c r="E281" s="1">
        <v>63</v>
      </c>
      <c r="F281" s="1">
        <v>6</v>
      </c>
      <c r="G281" s="1"/>
      <c r="H281" s="1"/>
      <c r="I281" s="1"/>
      <c r="J281" s="1"/>
    </row>
    <row r="282" spans="1:10" x14ac:dyDescent="0.3">
      <c r="A282">
        <v>30</v>
      </c>
      <c r="B282" s="1">
        <v>1999</v>
      </c>
      <c r="C282" s="1" t="s">
        <v>0</v>
      </c>
      <c r="D282" s="1">
        <v>56</v>
      </c>
      <c r="E282" s="1">
        <v>52</v>
      </c>
      <c r="F282" s="1">
        <v>4</v>
      </c>
      <c r="G282" s="1"/>
      <c r="H282" s="1"/>
      <c r="I282" s="1"/>
      <c r="J282" s="1"/>
    </row>
    <row r="283" spans="1:10" x14ac:dyDescent="0.3">
      <c r="A283">
        <v>30</v>
      </c>
      <c r="B283" s="1">
        <v>2000</v>
      </c>
      <c r="C283" s="1" t="s">
        <v>0</v>
      </c>
      <c r="D283" s="1">
        <v>51</v>
      </c>
      <c r="E283" s="1">
        <v>44</v>
      </c>
      <c r="F283" s="1">
        <v>7</v>
      </c>
      <c r="G283" s="1"/>
      <c r="H283" s="1"/>
      <c r="I283" s="1"/>
      <c r="J283" s="1"/>
    </row>
    <row r="284" spans="1:10" x14ac:dyDescent="0.3">
      <c r="A284">
        <v>30</v>
      </c>
      <c r="B284" s="1">
        <v>2001</v>
      </c>
      <c r="C284" s="1" t="s">
        <v>0</v>
      </c>
      <c r="D284" s="1">
        <v>46</v>
      </c>
      <c r="E284" s="1">
        <v>40</v>
      </c>
      <c r="F284" s="1">
        <v>6</v>
      </c>
      <c r="G284" s="1"/>
      <c r="H284" s="1"/>
      <c r="I284" s="1"/>
      <c r="J284" s="1"/>
    </row>
    <row r="285" spans="1:10" x14ac:dyDescent="0.3">
      <c r="A285">
        <v>30</v>
      </c>
      <c r="B285" s="1">
        <v>2002</v>
      </c>
      <c r="C285" s="1" t="s">
        <v>0</v>
      </c>
      <c r="D285" s="1">
        <v>48</v>
      </c>
      <c r="E285" s="1">
        <v>44</v>
      </c>
      <c r="F285" s="1">
        <v>4</v>
      </c>
      <c r="G285" s="1"/>
      <c r="H285" s="1"/>
      <c r="I285" s="1"/>
      <c r="J285" s="1"/>
    </row>
    <row r="286" spans="1:10" x14ac:dyDescent="0.3">
      <c r="A286">
        <v>30</v>
      </c>
      <c r="B286" s="1">
        <v>2003</v>
      </c>
      <c r="C286" s="1" t="s">
        <v>0</v>
      </c>
      <c r="D286" s="1">
        <v>49</v>
      </c>
      <c r="E286" s="1">
        <v>44</v>
      </c>
      <c r="F286" s="1">
        <v>5</v>
      </c>
      <c r="G286" s="1"/>
      <c r="H286" s="1"/>
      <c r="I286" s="1"/>
      <c r="J286" s="1"/>
    </row>
    <row r="287" spans="1:10" x14ac:dyDescent="0.3">
      <c r="A287">
        <v>30</v>
      </c>
      <c r="B287" s="1">
        <v>2004</v>
      </c>
      <c r="C287" s="1" t="s">
        <v>0</v>
      </c>
      <c r="D287" s="1">
        <v>46</v>
      </c>
      <c r="E287" s="1">
        <v>42</v>
      </c>
      <c r="F287" s="1">
        <v>4</v>
      </c>
      <c r="G287" s="1"/>
      <c r="H287" s="1"/>
      <c r="I287" s="1"/>
      <c r="J287" s="1"/>
    </row>
    <row r="288" spans="1:10" x14ac:dyDescent="0.3">
      <c r="A288">
        <v>30</v>
      </c>
      <c r="B288" s="1">
        <v>2005</v>
      </c>
      <c r="C288" s="1" t="s">
        <v>0</v>
      </c>
      <c r="D288" s="1">
        <v>40</v>
      </c>
      <c r="E288" s="1">
        <v>36</v>
      </c>
      <c r="F288" s="1">
        <v>4</v>
      </c>
      <c r="G288" s="1"/>
      <c r="H288" s="1"/>
      <c r="I288" s="1"/>
      <c r="J288" s="1"/>
    </row>
    <row r="289" spans="1:10" x14ac:dyDescent="0.3">
      <c r="A289">
        <v>30</v>
      </c>
      <c r="B289" s="1">
        <v>2006</v>
      </c>
      <c r="C289" s="1" t="s">
        <v>0</v>
      </c>
      <c r="D289" s="1">
        <v>48</v>
      </c>
      <c r="E289" s="1">
        <v>44</v>
      </c>
      <c r="F289" s="1">
        <v>4</v>
      </c>
      <c r="G289" s="1"/>
      <c r="H289" s="1"/>
      <c r="I289" s="1"/>
      <c r="J289" s="1"/>
    </row>
    <row r="290" spans="1:10" x14ac:dyDescent="0.3">
      <c r="A290">
        <v>30</v>
      </c>
      <c r="B290" s="1">
        <v>2007</v>
      </c>
      <c r="C290" s="1" t="s">
        <v>0</v>
      </c>
      <c r="D290" s="1">
        <v>51</v>
      </c>
      <c r="E290" s="1">
        <v>42</v>
      </c>
      <c r="F290" s="1">
        <v>9</v>
      </c>
      <c r="G290" s="1"/>
      <c r="H290" s="1"/>
      <c r="I290" s="1"/>
      <c r="J290" s="1"/>
    </row>
    <row r="291" spans="1:10" x14ac:dyDescent="0.3">
      <c r="A291">
        <v>30</v>
      </c>
      <c r="B291" s="1">
        <v>2008</v>
      </c>
      <c r="C291" s="1" t="s">
        <v>0</v>
      </c>
      <c r="D291" s="1">
        <v>48</v>
      </c>
      <c r="E291" s="1">
        <v>39</v>
      </c>
      <c r="F291" s="1">
        <v>9</v>
      </c>
      <c r="G291" s="1"/>
      <c r="H291" s="1"/>
      <c r="I291" s="1"/>
      <c r="J291" s="1"/>
    </row>
    <row r="292" spans="1:10" x14ac:dyDescent="0.3">
      <c r="A292">
        <v>30</v>
      </c>
      <c r="B292" s="1">
        <v>2009</v>
      </c>
      <c r="C292" s="1" t="s">
        <v>0</v>
      </c>
      <c r="D292" s="1">
        <v>94</v>
      </c>
      <c r="E292" s="1">
        <v>87</v>
      </c>
      <c r="F292" s="1">
        <v>7</v>
      </c>
      <c r="G292" s="1"/>
      <c r="H292" s="1"/>
      <c r="I292" s="1"/>
      <c r="J292" s="1"/>
    </row>
    <row r="293" spans="1:10" x14ac:dyDescent="0.3">
      <c r="A293">
        <v>30</v>
      </c>
      <c r="B293" s="1">
        <v>2010</v>
      </c>
      <c r="C293" s="1" t="s">
        <v>0</v>
      </c>
      <c r="D293" s="1">
        <v>68</v>
      </c>
      <c r="E293" s="1">
        <v>64</v>
      </c>
      <c r="F293" s="1">
        <v>4</v>
      </c>
      <c r="G293" s="1"/>
      <c r="H293" s="1"/>
      <c r="I293" s="1"/>
      <c r="J293" s="1"/>
    </row>
    <row r="294" spans="1:10" x14ac:dyDescent="0.3">
      <c r="A294">
        <v>30</v>
      </c>
      <c r="B294" s="1">
        <v>2011</v>
      </c>
      <c r="C294" s="1" t="s">
        <v>0</v>
      </c>
      <c r="D294" s="1">
        <v>120</v>
      </c>
      <c r="E294" s="1">
        <v>110</v>
      </c>
      <c r="F294" s="1">
        <v>10</v>
      </c>
      <c r="G294" s="1"/>
      <c r="H294" s="1"/>
      <c r="I294" s="1"/>
      <c r="J294" s="1"/>
    </row>
    <row r="295" spans="1:10" x14ac:dyDescent="0.3">
      <c r="A295">
        <v>30</v>
      </c>
      <c r="B295" s="1">
        <v>2012</v>
      </c>
      <c r="C295" s="1" t="s">
        <v>0</v>
      </c>
      <c r="D295" s="1">
        <v>122</v>
      </c>
      <c r="E295" s="1">
        <v>110</v>
      </c>
      <c r="F295" s="1">
        <v>12</v>
      </c>
      <c r="G295" s="1"/>
      <c r="H295" s="1"/>
      <c r="I295" s="1"/>
      <c r="J295" s="1"/>
    </row>
    <row r="296" spans="1:10" x14ac:dyDescent="0.3">
      <c r="A296">
        <v>30</v>
      </c>
      <c r="B296" s="1">
        <v>2013</v>
      </c>
      <c r="C296" s="1" t="s">
        <v>0</v>
      </c>
      <c r="D296" s="1">
        <v>108</v>
      </c>
      <c r="E296" s="1">
        <v>97</v>
      </c>
      <c r="F296" s="1">
        <v>11</v>
      </c>
      <c r="G296" s="1"/>
      <c r="H296" s="1"/>
      <c r="I296" s="1"/>
      <c r="J296" s="1"/>
    </row>
    <row r="297" spans="1:10" x14ac:dyDescent="0.3">
      <c r="A297">
        <v>30</v>
      </c>
      <c r="B297" s="1">
        <v>2014</v>
      </c>
      <c r="C297" s="1" t="s">
        <v>0</v>
      </c>
      <c r="D297" s="1">
        <v>128</v>
      </c>
      <c r="E297" s="1">
        <v>117</v>
      </c>
      <c r="F297" s="1">
        <v>11</v>
      </c>
      <c r="G297" s="1"/>
      <c r="H297" s="1"/>
      <c r="I297" s="1"/>
      <c r="J297" s="1"/>
    </row>
    <row r="298" spans="1:10" x14ac:dyDescent="0.3">
      <c r="A298">
        <v>30</v>
      </c>
      <c r="B298" s="1">
        <v>2015</v>
      </c>
      <c r="C298" s="1" t="s">
        <v>0</v>
      </c>
      <c r="D298" s="1">
        <v>124</v>
      </c>
      <c r="E298" s="1">
        <v>110</v>
      </c>
      <c r="F298" s="1">
        <v>14</v>
      </c>
      <c r="G298" s="1"/>
      <c r="H298" s="1"/>
      <c r="I298" s="1"/>
      <c r="J298" s="1"/>
    </row>
    <row r="299" spans="1:10" x14ac:dyDescent="0.3">
      <c r="A299">
        <v>30</v>
      </c>
      <c r="B299" s="1">
        <v>2016</v>
      </c>
      <c r="C299" s="1" t="s">
        <v>0</v>
      </c>
      <c r="D299" s="1">
        <v>172</v>
      </c>
      <c r="E299" s="1">
        <v>150</v>
      </c>
      <c r="F299" s="1">
        <v>22</v>
      </c>
      <c r="G299" s="1"/>
      <c r="H299" s="1"/>
      <c r="I299" s="1"/>
      <c r="J299" s="1"/>
    </row>
    <row r="300" spans="1:10" x14ac:dyDescent="0.3">
      <c r="A300">
        <v>30</v>
      </c>
      <c r="B300" s="1">
        <v>2017</v>
      </c>
      <c r="C300" s="1" t="s">
        <v>0</v>
      </c>
      <c r="D300" s="1">
        <v>267</v>
      </c>
      <c r="E300" s="1">
        <v>242</v>
      </c>
      <c r="F300" s="1">
        <v>25</v>
      </c>
      <c r="G300" s="1"/>
      <c r="H300" s="1"/>
      <c r="I300" s="1"/>
      <c r="J300" s="1"/>
    </row>
    <row r="301" spans="1:10" x14ac:dyDescent="0.3">
      <c r="A301">
        <v>30</v>
      </c>
      <c r="B301" s="1">
        <v>2018</v>
      </c>
      <c r="C301" s="1" t="s">
        <v>0</v>
      </c>
      <c r="D301" s="1">
        <v>203</v>
      </c>
      <c r="E301" s="1">
        <v>186</v>
      </c>
      <c r="F301" s="1">
        <v>17</v>
      </c>
      <c r="G301" s="1"/>
      <c r="H301" s="1"/>
      <c r="I301" s="1"/>
      <c r="J301" s="1"/>
    </row>
    <row r="302" spans="1:10" x14ac:dyDescent="0.3">
      <c r="A302">
        <v>30</v>
      </c>
      <c r="B302" s="1">
        <v>2019</v>
      </c>
      <c r="C302" s="1" t="s">
        <v>0</v>
      </c>
      <c r="D302" s="1">
        <v>215</v>
      </c>
      <c r="E302" s="1">
        <v>194</v>
      </c>
      <c r="F302" s="1">
        <v>21</v>
      </c>
      <c r="G302" s="1"/>
      <c r="H302" s="1"/>
      <c r="I302" s="1"/>
      <c r="J302" s="1"/>
    </row>
    <row r="303" spans="1:10" x14ac:dyDescent="0.3">
      <c r="A303">
        <v>30</v>
      </c>
      <c r="B303" s="1">
        <v>2020</v>
      </c>
      <c r="C303" s="1" t="s">
        <v>0</v>
      </c>
      <c r="D303" s="1">
        <v>165</v>
      </c>
      <c r="E303" s="1">
        <v>154</v>
      </c>
      <c r="F303" s="1">
        <v>11</v>
      </c>
      <c r="G303" s="1"/>
      <c r="H303" s="1"/>
      <c r="I303" s="1"/>
      <c r="J303" s="1"/>
    </row>
    <row r="304" spans="1:10" x14ac:dyDescent="0.3">
      <c r="A304">
        <v>30</v>
      </c>
      <c r="B304" s="1">
        <v>2021</v>
      </c>
      <c r="C304" s="1" t="s">
        <v>0</v>
      </c>
      <c r="D304" s="1">
        <v>165</v>
      </c>
      <c r="E304" s="1">
        <v>145</v>
      </c>
      <c r="F304" s="1">
        <v>20</v>
      </c>
      <c r="G304" s="1"/>
      <c r="H304" s="1"/>
      <c r="I304" s="1"/>
      <c r="J304" s="1"/>
    </row>
    <row r="305" spans="1:10" x14ac:dyDescent="0.3">
      <c r="A305">
        <v>30</v>
      </c>
      <c r="B305" s="1">
        <v>2022</v>
      </c>
      <c r="C305" s="1" t="s">
        <v>0</v>
      </c>
      <c r="D305" s="1">
        <v>127</v>
      </c>
      <c r="E305" s="1">
        <v>112</v>
      </c>
      <c r="F305" s="1">
        <v>15</v>
      </c>
      <c r="G305" s="1"/>
      <c r="H305" s="1"/>
      <c r="I305" s="1"/>
      <c r="J305" s="1"/>
    </row>
    <row r="306" spans="1:10" x14ac:dyDescent="0.3">
      <c r="A306">
        <v>30</v>
      </c>
      <c r="B306" s="1">
        <v>2023</v>
      </c>
      <c r="C306" s="1" t="s">
        <v>0</v>
      </c>
      <c r="D306" s="1">
        <v>120</v>
      </c>
      <c r="E306" s="1">
        <v>109</v>
      </c>
      <c r="F306" s="1">
        <v>11</v>
      </c>
      <c r="G306" s="1"/>
      <c r="H306" s="1"/>
      <c r="I306" s="1"/>
      <c r="J306" s="1"/>
    </row>
    <row r="307" spans="1:10" x14ac:dyDescent="0.3">
      <c r="A307">
        <v>30</v>
      </c>
      <c r="B307" s="1">
        <v>2024</v>
      </c>
      <c r="C307" s="1" t="s">
        <v>0</v>
      </c>
      <c r="D307" s="1">
        <v>119</v>
      </c>
      <c r="E307" s="1">
        <v>104</v>
      </c>
      <c r="F307" s="1">
        <v>15</v>
      </c>
      <c r="G307" s="1"/>
      <c r="H307" s="1"/>
      <c r="I307" s="1"/>
      <c r="J307" s="1"/>
    </row>
    <row r="308" spans="1:10" x14ac:dyDescent="0.3">
      <c r="A308" s="3">
        <v>35</v>
      </c>
      <c r="B308" s="1">
        <v>1990</v>
      </c>
      <c r="C308" s="1" t="s">
        <v>0</v>
      </c>
      <c r="D308" s="1">
        <v>90</v>
      </c>
      <c r="E308" s="1">
        <v>86</v>
      </c>
      <c r="F308" s="1">
        <v>4</v>
      </c>
      <c r="G308" s="1"/>
      <c r="H308" s="1"/>
      <c r="I308" s="1"/>
      <c r="J308" s="1"/>
    </row>
    <row r="309" spans="1:10" x14ac:dyDescent="0.3">
      <c r="A309">
        <v>35</v>
      </c>
      <c r="B309" s="1">
        <v>1991</v>
      </c>
      <c r="C309" s="1" t="s">
        <v>0</v>
      </c>
      <c r="D309" s="1">
        <v>94</v>
      </c>
      <c r="E309" s="1">
        <v>88</v>
      </c>
      <c r="F309" s="1">
        <v>6</v>
      </c>
      <c r="G309" s="1"/>
      <c r="H309" s="1"/>
      <c r="I309" s="1"/>
      <c r="J309" s="1"/>
    </row>
    <row r="310" spans="1:10" x14ac:dyDescent="0.3">
      <c r="A310">
        <v>35</v>
      </c>
      <c r="B310" s="1">
        <v>1992</v>
      </c>
      <c r="C310" s="1" t="s">
        <v>0</v>
      </c>
      <c r="D310" s="1">
        <v>61</v>
      </c>
      <c r="E310" s="1">
        <v>55</v>
      </c>
      <c r="F310" s="1">
        <v>6</v>
      </c>
      <c r="G310" s="1"/>
      <c r="H310" s="1"/>
      <c r="I310" s="1"/>
      <c r="J310" s="1"/>
    </row>
    <row r="311" spans="1:10" x14ac:dyDescent="0.3">
      <c r="A311">
        <v>35</v>
      </c>
      <c r="B311" s="1">
        <v>1993</v>
      </c>
      <c r="C311" s="1" t="s">
        <v>0</v>
      </c>
      <c r="D311" s="1">
        <v>88</v>
      </c>
      <c r="E311" s="1">
        <v>83</v>
      </c>
      <c r="F311" s="1">
        <v>5</v>
      </c>
      <c r="G311" s="1"/>
      <c r="H311" s="1"/>
      <c r="I311" s="1"/>
      <c r="J311" s="1"/>
    </row>
    <row r="312" spans="1:10" x14ac:dyDescent="0.3">
      <c r="A312">
        <v>35</v>
      </c>
      <c r="B312" s="1">
        <v>1994</v>
      </c>
      <c r="C312" s="1" t="s">
        <v>0</v>
      </c>
      <c r="D312" s="1">
        <v>95</v>
      </c>
      <c r="E312" s="1">
        <v>87</v>
      </c>
      <c r="F312" s="1">
        <v>8</v>
      </c>
      <c r="G312" s="1"/>
      <c r="H312" s="1"/>
      <c r="I312" s="1"/>
      <c r="J312" s="1"/>
    </row>
    <row r="313" spans="1:10" x14ac:dyDescent="0.3">
      <c r="A313">
        <v>35</v>
      </c>
      <c r="B313" s="1">
        <v>1995</v>
      </c>
      <c r="C313" s="1" t="s">
        <v>0</v>
      </c>
      <c r="D313" s="1">
        <v>74</v>
      </c>
      <c r="E313" s="1">
        <v>72</v>
      </c>
      <c r="F313" s="1">
        <v>2</v>
      </c>
      <c r="G313" s="1"/>
      <c r="H313" s="1"/>
      <c r="I313" s="1"/>
      <c r="J313" s="1"/>
    </row>
    <row r="314" spans="1:10" x14ac:dyDescent="0.3">
      <c r="A314">
        <v>35</v>
      </c>
      <c r="B314" s="1">
        <v>1996</v>
      </c>
      <c r="C314" s="1" t="s">
        <v>0</v>
      </c>
      <c r="D314" s="1">
        <v>52</v>
      </c>
      <c r="E314" s="1">
        <v>50</v>
      </c>
      <c r="F314" s="1">
        <v>2</v>
      </c>
      <c r="G314" s="1"/>
      <c r="H314" s="1"/>
      <c r="I314" s="1"/>
      <c r="J314" s="1"/>
    </row>
    <row r="315" spans="1:10" x14ac:dyDescent="0.3">
      <c r="A315">
        <v>35</v>
      </c>
      <c r="B315" s="1">
        <v>1997</v>
      </c>
      <c r="C315" s="1" t="s">
        <v>0</v>
      </c>
      <c r="D315" s="1">
        <v>73</v>
      </c>
      <c r="E315" s="1">
        <v>66</v>
      </c>
      <c r="F315" s="1">
        <v>7</v>
      </c>
      <c r="G315" s="1"/>
      <c r="H315" s="1"/>
      <c r="I315" s="1"/>
      <c r="J315" s="1"/>
    </row>
    <row r="316" spans="1:10" x14ac:dyDescent="0.3">
      <c r="A316">
        <v>35</v>
      </c>
      <c r="B316" s="1">
        <v>1998</v>
      </c>
      <c r="C316" s="1" t="s">
        <v>0</v>
      </c>
      <c r="D316" s="1">
        <v>50</v>
      </c>
      <c r="E316" s="1">
        <v>46</v>
      </c>
      <c r="F316" s="1">
        <v>4</v>
      </c>
      <c r="G316" s="1"/>
      <c r="H316" s="1"/>
      <c r="I316" s="1"/>
      <c r="J316" s="1"/>
    </row>
    <row r="317" spans="1:10" x14ac:dyDescent="0.3">
      <c r="A317">
        <v>35</v>
      </c>
      <c r="B317" s="1">
        <v>1999</v>
      </c>
      <c r="C317" s="1" t="s">
        <v>0</v>
      </c>
      <c r="D317" s="1">
        <v>55</v>
      </c>
      <c r="E317" s="1">
        <v>49</v>
      </c>
      <c r="F317" s="1">
        <v>6</v>
      </c>
      <c r="G317" s="1"/>
      <c r="H317" s="1"/>
      <c r="I317" s="1"/>
      <c r="J317" s="1"/>
    </row>
    <row r="318" spans="1:10" x14ac:dyDescent="0.3">
      <c r="A318">
        <v>35</v>
      </c>
      <c r="B318" s="1">
        <v>2000</v>
      </c>
      <c r="C318" s="1" t="s">
        <v>0</v>
      </c>
      <c r="D318" s="1">
        <v>48</v>
      </c>
      <c r="E318" s="1">
        <v>47</v>
      </c>
      <c r="F318" s="1">
        <v>1</v>
      </c>
      <c r="G318" s="1"/>
      <c r="H318" s="1"/>
      <c r="I318" s="1"/>
      <c r="J318" s="1"/>
    </row>
    <row r="319" spans="1:10" x14ac:dyDescent="0.3">
      <c r="A319">
        <v>35</v>
      </c>
      <c r="B319" s="1">
        <v>2001</v>
      </c>
      <c r="C319" s="1" t="s">
        <v>0</v>
      </c>
      <c r="D319" s="1">
        <v>46</v>
      </c>
      <c r="E319" s="1">
        <v>40</v>
      </c>
      <c r="F319" s="1">
        <v>6</v>
      </c>
      <c r="G319" s="1"/>
      <c r="H319" s="1"/>
      <c r="I319" s="1"/>
      <c r="J319" s="1"/>
    </row>
    <row r="320" spans="1:10" x14ac:dyDescent="0.3">
      <c r="A320">
        <v>35</v>
      </c>
      <c r="B320" s="1">
        <v>2002</v>
      </c>
      <c r="C320" s="1" t="s">
        <v>0</v>
      </c>
      <c r="D320" s="1">
        <v>41</v>
      </c>
      <c r="E320" s="1">
        <v>37</v>
      </c>
      <c r="F320" s="1">
        <v>4</v>
      </c>
      <c r="G320" s="1"/>
      <c r="H320" s="1"/>
      <c r="I320" s="1"/>
      <c r="J320" s="1"/>
    </row>
    <row r="321" spans="1:10" x14ac:dyDescent="0.3">
      <c r="A321">
        <v>35</v>
      </c>
      <c r="B321" s="1">
        <v>2003</v>
      </c>
      <c r="C321" s="1" t="s">
        <v>0</v>
      </c>
      <c r="D321" s="1">
        <v>46</v>
      </c>
      <c r="E321" s="1">
        <v>44</v>
      </c>
      <c r="F321" s="1">
        <v>2</v>
      </c>
      <c r="G321" s="1"/>
      <c r="H321" s="1"/>
      <c r="I321" s="1"/>
      <c r="J321" s="1"/>
    </row>
    <row r="322" spans="1:10" x14ac:dyDescent="0.3">
      <c r="A322">
        <v>35</v>
      </c>
      <c r="B322" s="1">
        <v>2004</v>
      </c>
      <c r="C322" s="1" t="s">
        <v>0</v>
      </c>
      <c r="D322" s="1">
        <v>45</v>
      </c>
      <c r="E322" s="1">
        <v>41</v>
      </c>
      <c r="F322" s="1">
        <v>4</v>
      </c>
      <c r="G322" s="1"/>
      <c r="H322" s="1"/>
      <c r="I322" s="1"/>
      <c r="J322" s="1"/>
    </row>
    <row r="323" spans="1:10" x14ac:dyDescent="0.3">
      <c r="A323">
        <v>35</v>
      </c>
      <c r="B323" s="1">
        <v>2005</v>
      </c>
      <c r="C323" s="1" t="s">
        <v>0</v>
      </c>
      <c r="D323" s="1">
        <v>36</v>
      </c>
      <c r="E323" s="1">
        <v>31</v>
      </c>
      <c r="F323" s="1">
        <v>5</v>
      </c>
      <c r="G323" s="1"/>
      <c r="H323" s="1"/>
      <c r="I323" s="1"/>
      <c r="J323" s="1"/>
    </row>
    <row r="324" spans="1:10" x14ac:dyDescent="0.3">
      <c r="A324">
        <v>35</v>
      </c>
      <c r="B324" s="1">
        <v>2006</v>
      </c>
      <c r="C324" s="1" t="s">
        <v>0</v>
      </c>
      <c r="D324" s="1">
        <v>49</v>
      </c>
      <c r="E324" s="1">
        <v>43</v>
      </c>
      <c r="F324" s="1">
        <v>6</v>
      </c>
      <c r="G324" s="1"/>
      <c r="H324" s="1"/>
      <c r="I324" s="1"/>
      <c r="J324" s="1"/>
    </row>
    <row r="325" spans="1:10" x14ac:dyDescent="0.3">
      <c r="A325">
        <v>35</v>
      </c>
      <c r="B325" s="1">
        <v>2007</v>
      </c>
      <c r="C325" s="1" t="s">
        <v>0</v>
      </c>
      <c r="D325" s="1">
        <v>47</v>
      </c>
      <c r="E325" s="1">
        <v>42</v>
      </c>
      <c r="F325" s="1">
        <v>5</v>
      </c>
      <c r="G325" s="1"/>
      <c r="H325" s="1"/>
      <c r="I325" s="1"/>
      <c r="J325" s="1"/>
    </row>
    <row r="326" spans="1:10" x14ac:dyDescent="0.3">
      <c r="A326">
        <v>35</v>
      </c>
      <c r="B326" s="1">
        <v>2008</v>
      </c>
      <c r="C326" s="1" t="s">
        <v>0</v>
      </c>
      <c r="D326" s="1">
        <v>39</v>
      </c>
      <c r="E326" s="1">
        <v>38</v>
      </c>
      <c r="F326" s="1">
        <v>1</v>
      </c>
      <c r="G326" s="1"/>
      <c r="H326" s="1"/>
      <c r="I326" s="1"/>
      <c r="J326" s="1"/>
    </row>
    <row r="327" spans="1:10" x14ac:dyDescent="0.3">
      <c r="A327">
        <v>35</v>
      </c>
      <c r="B327" s="1">
        <v>2009</v>
      </c>
      <c r="C327" s="1" t="s">
        <v>0</v>
      </c>
      <c r="D327" s="1">
        <v>71</v>
      </c>
      <c r="E327" s="1">
        <v>63</v>
      </c>
      <c r="F327" s="1">
        <v>8</v>
      </c>
      <c r="G327" s="1"/>
      <c r="H327" s="1"/>
      <c r="I327" s="1"/>
      <c r="J327" s="1"/>
    </row>
    <row r="328" spans="1:10" x14ac:dyDescent="0.3">
      <c r="A328">
        <v>35</v>
      </c>
      <c r="B328" s="1">
        <v>2010</v>
      </c>
      <c r="C328" s="1" t="s">
        <v>0</v>
      </c>
      <c r="D328" s="1">
        <v>53</v>
      </c>
      <c r="E328" s="1">
        <v>45</v>
      </c>
      <c r="F328" s="1">
        <v>7</v>
      </c>
      <c r="G328" s="1">
        <v>1</v>
      </c>
      <c r="H328" s="1"/>
      <c r="I328" s="1"/>
      <c r="J328" s="1"/>
    </row>
    <row r="329" spans="1:10" x14ac:dyDescent="0.3">
      <c r="A329">
        <v>35</v>
      </c>
      <c r="B329" s="1">
        <v>2011</v>
      </c>
      <c r="C329" s="1" t="s">
        <v>0</v>
      </c>
      <c r="D329" s="1">
        <v>111</v>
      </c>
      <c r="E329" s="1">
        <v>96</v>
      </c>
      <c r="F329" s="1">
        <v>15</v>
      </c>
      <c r="G329" s="1"/>
      <c r="H329" s="1"/>
      <c r="I329" s="1"/>
      <c r="J329" s="1"/>
    </row>
    <row r="330" spans="1:10" x14ac:dyDescent="0.3">
      <c r="A330">
        <v>35</v>
      </c>
      <c r="B330" s="1">
        <v>2012</v>
      </c>
      <c r="C330" s="1" t="s">
        <v>0</v>
      </c>
      <c r="D330" s="1">
        <v>109</v>
      </c>
      <c r="E330" s="1">
        <v>94</v>
      </c>
      <c r="F330" s="1">
        <v>15</v>
      </c>
      <c r="G330" s="1"/>
      <c r="H330" s="1"/>
      <c r="I330" s="1"/>
      <c r="J330" s="1"/>
    </row>
    <row r="331" spans="1:10" x14ac:dyDescent="0.3">
      <c r="A331">
        <v>35</v>
      </c>
      <c r="B331" s="1">
        <v>2013</v>
      </c>
      <c r="C331" s="1" t="s">
        <v>0</v>
      </c>
      <c r="D331" s="1">
        <v>68</v>
      </c>
      <c r="E331" s="1">
        <v>61</v>
      </c>
      <c r="F331" s="1">
        <v>7</v>
      </c>
      <c r="G331" s="1"/>
      <c r="H331" s="1"/>
      <c r="I331" s="1"/>
      <c r="J331" s="1"/>
    </row>
    <row r="332" spans="1:10" x14ac:dyDescent="0.3">
      <c r="A332">
        <v>35</v>
      </c>
      <c r="B332" s="1">
        <v>2014</v>
      </c>
      <c r="C332" s="1" t="s">
        <v>0</v>
      </c>
      <c r="D332" s="1">
        <v>99</v>
      </c>
      <c r="E332" s="1">
        <v>92</v>
      </c>
      <c r="F332" s="1">
        <v>7</v>
      </c>
      <c r="G332" s="1"/>
      <c r="H332" s="1"/>
      <c r="I332" s="1"/>
      <c r="J332" s="1"/>
    </row>
    <row r="333" spans="1:10" x14ac:dyDescent="0.3">
      <c r="A333">
        <v>35</v>
      </c>
      <c r="B333" s="1">
        <v>2015</v>
      </c>
      <c r="C333" s="1" t="s">
        <v>0</v>
      </c>
      <c r="D333" s="1">
        <v>121</v>
      </c>
      <c r="E333" s="1">
        <v>111</v>
      </c>
      <c r="F333" s="1">
        <v>10</v>
      </c>
      <c r="G333" s="1"/>
      <c r="H333" s="1"/>
      <c r="I333" s="1"/>
      <c r="J333" s="1"/>
    </row>
    <row r="334" spans="1:10" x14ac:dyDescent="0.3">
      <c r="A334">
        <v>35</v>
      </c>
      <c r="B334" s="1">
        <v>2016</v>
      </c>
      <c r="C334" s="1" t="s">
        <v>0</v>
      </c>
      <c r="D334" s="1">
        <v>138</v>
      </c>
      <c r="E334" s="1">
        <v>125</v>
      </c>
      <c r="F334" s="1">
        <v>13</v>
      </c>
      <c r="G334" s="1"/>
      <c r="H334" s="1"/>
      <c r="I334" s="1"/>
      <c r="J334" s="1"/>
    </row>
    <row r="335" spans="1:10" x14ac:dyDescent="0.3">
      <c r="A335">
        <v>35</v>
      </c>
      <c r="B335" s="1">
        <v>2017</v>
      </c>
      <c r="C335" s="1" t="s">
        <v>0</v>
      </c>
      <c r="D335" s="1">
        <v>215</v>
      </c>
      <c r="E335" s="1">
        <v>189</v>
      </c>
      <c r="F335" s="1">
        <v>26</v>
      </c>
      <c r="G335" s="1"/>
      <c r="H335" s="1"/>
      <c r="I335" s="1"/>
      <c r="J335" s="1"/>
    </row>
    <row r="336" spans="1:10" x14ac:dyDescent="0.3">
      <c r="A336">
        <v>35</v>
      </c>
      <c r="B336" s="1">
        <v>2018</v>
      </c>
      <c r="C336" s="1" t="s">
        <v>0</v>
      </c>
      <c r="D336" s="1">
        <v>198</v>
      </c>
      <c r="E336" s="1">
        <v>178</v>
      </c>
      <c r="F336" s="1">
        <v>20</v>
      </c>
      <c r="G336" s="1"/>
      <c r="H336" s="1"/>
      <c r="I336" s="1"/>
      <c r="J336" s="1"/>
    </row>
    <row r="337" spans="1:10" x14ac:dyDescent="0.3">
      <c r="A337">
        <v>35</v>
      </c>
      <c r="B337" s="1">
        <v>2019</v>
      </c>
      <c r="C337" s="1" t="s">
        <v>0</v>
      </c>
      <c r="D337" s="1">
        <v>172</v>
      </c>
      <c r="E337" s="1">
        <v>156</v>
      </c>
      <c r="F337" s="1">
        <v>16</v>
      </c>
      <c r="G337" s="1"/>
      <c r="H337" s="1"/>
      <c r="I337" s="1"/>
      <c r="J337" s="1"/>
    </row>
    <row r="338" spans="1:10" x14ac:dyDescent="0.3">
      <c r="A338">
        <v>35</v>
      </c>
      <c r="B338" s="1">
        <v>2020</v>
      </c>
      <c r="C338" s="1" t="s">
        <v>0</v>
      </c>
      <c r="D338" s="1">
        <v>150</v>
      </c>
      <c r="E338" s="1">
        <v>139</v>
      </c>
      <c r="F338" s="1">
        <v>11</v>
      </c>
      <c r="G338" s="1"/>
      <c r="H338" s="1"/>
      <c r="I338" s="1"/>
      <c r="J338" s="1"/>
    </row>
    <row r="339" spans="1:10" x14ac:dyDescent="0.3">
      <c r="A339">
        <v>35</v>
      </c>
      <c r="B339" s="1">
        <v>2021</v>
      </c>
      <c r="C339" s="1" t="s">
        <v>0</v>
      </c>
      <c r="D339" s="1">
        <v>107</v>
      </c>
      <c r="E339" s="1">
        <v>96</v>
      </c>
      <c r="F339" s="1">
        <v>11</v>
      </c>
      <c r="G339" s="1"/>
      <c r="H339" s="1"/>
      <c r="I339" s="1"/>
      <c r="J339" s="1"/>
    </row>
    <row r="340" spans="1:10" x14ac:dyDescent="0.3">
      <c r="A340">
        <v>35</v>
      </c>
      <c r="B340" s="1">
        <v>2022</v>
      </c>
      <c r="C340" s="1" t="s">
        <v>0</v>
      </c>
      <c r="D340" s="1">
        <v>114</v>
      </c>
      <c r="E340" s="1">
        <v>102</v>
      </c>
      <c r="F340" s="1">
        <v>12</v>
      </c>
      <c r="G340" s="1"/>
      <c r="H340" s="1"/>
      <c r="I340" s="1"/>
      <c r="J340" s="1"/>
    </row>
    <row r="341" spans="1:10" x14ac:dyDescent="0.3">
      <c r="A341">
        <v>35</v>
      </c>
      <c r="B341" s="1">
        <v>2023</v>
      </c>
      <c r="C341" s="1" t="s">
        <v>0</v>
      </c>
      <c r="D341" s="1">
        <v>109</v>
      </c>
      <c r="E341" s="1">
        <v>101</v>
      </c>
      <c r="F341" s="1">
        <v>7</v>
      </c>
      <c r="G341" s="1">
        <v>1</v>
      </c>
      <c r="H341" s="1"/>
      <c r="I341" s="1"/>
      <c r="J341" s="1"/>
    </row>
    <row r="342" spans="1:10" x14ac:dyDescent="0.3">
      <c r="A342">
        <v>35</v>
      </c>
      <c r="B342" s="1">
        <v>2024</v>
      </c>
      <c r="C342" s="1" t="s">
        <v>0</v>
      </c>
      <c r="D342" s="1">
        <v>118</v>
      </c>
      <c r="E342" s="1">
        <v>106</v>
      </c>
      <c r="F342" s="1">
        <v>12</v>
      </c>
      <c r="G342" s="1"/>
      <c r="H342" s="1"/>
      <c r="I342" s="1"/>
      <c r="J342" s="1"/>
    </row>
    <row r="343" spans="1:10" x14ac:dyDescent="0.3">
      <c r="A343" s="3">
        <v>40</v>
      </c>
      <c r="B343" s="1">
        <v>1990</v>
      </c>
      <c r="C343" s="1" t="s">
        <v>0</v>
      </c>
      <c r="D343" s="1">
        <v>67</v>
      </c>
      <c r="E343" s="1">
        <v>66</v>
      </c>
      <c r="F343" s="1">
        <v>1</v>
      </c>
      <c r="G343" s="1"/>
      <c r="H343" s="1"/>
      <c r="I343" s="1"/>
      <c r="J343" s="1"/>
    </row>
    <row r="344" spans="1:10" x14ac:dyDescent="0.3">
      <c r="A344">
        <v>40</v>
      </c>
      <c r="B344" s="1">
        <v>1991</v>
      </c>
      <c r="C344" s="1" t="s">
        <v>0</v>
      </c>
      <c r="D344" s="1">
        <v>63</v>
      </c>
      <c r="E344" s="1">
        <v>62</v>
      </c>
      <c r="F344" s="1">
        <v>1</v>
      </c>
      <c r="G344" s="1"/>
      <c r="H344" s="1"/>
      <c r="I344" s="1"/>
      <c r="J344" s="1"/>
    </row>
    <row r="345" spans="1:10" x14ac:dyDescent="0.3">
      <c r="A345">
        <v>40</v>
      </c>
      <c r="B345" s="1">
        <v>1992</v>
      </c>
      <c r="C345" s="1" t="s">
        <v>0</v>
      </c>
      <c r="D345" s="1">
        <v>64</v>
      </c>
      <c r="E345" s="1">
        <v>57</v>
      </c>
      <c r="F345" s="1">
        <v>6</v>
      </c>
      <c r="G345" s="1">
        <v>1</v>
      </c>
      <c r="H345" s="1"/>
      <c r="I345" s="1"/>
      <c r="J345" s="1"/>
    </row>
    <row r="346" spans="1:10" x14ac:dyDescent="0.3">
      <c r="A346">
        <v>40</v>
      </c>
      <c r="B346" s="1">
        <v>1993</v>
      </c>
      <c r="C346" s="1" t="s">
        <v>0</v>
      </c>
      <c r="D346" s="1">
        <v>65</v>
      </c>
      <c r="E346" s="1">
        <v>62</v>
      </c>
      <c r="F346" s="1">
        <v>3</v>
      </c>
      <c r="G346" s="1"/>
      <c r="H346" s="1"/>
      <c r="I346" s="1"/>
      <c r="J346" s="1"/>
    </row>
    <row r="347" spans="1:10" x14ac:dyDescent="0.3">
      <c r="A347">
        <v>40</v>
      </c>
      <c r="B347" s="1">
        <v>1994</v>
      </c>
      <c r="C347" s="1" t="s">
        <v>0</v>
      </c>
      <c r="D347" s="1">
        <v>63</v>
      </c>
      <c r="E347" s="1">
        <v>56</v>
      </c>
      <c r="F347" s="1">
        <v>7</v>
      </c>
      <c r="G347" s="1"/>
      <c r="H347" s="1"/>
      <c r="I347" s="1"/>
      <c r="J347" s="1"/>
    </row>
    <row r="348" spans="1:10" x14ac:dyDescent="0.3">
      <c r="A348">
        <v>40</v>
      </c>
      <c r="B348" s="1">
        <v>1995</v>
      </c>
      <c r="C348" s="1" t="s">
        <v>0</v>
      </c>
      <c r="D348" s="1">
        <v>64</v>
      </c>
      <c r="E348" s="1">
        <v>60</v>
      </c>
      <c r="F348" s="1">
        <v>4</v>
      </c>
      <c r="G348" s="1"/>
      <c r="H348" s="1"/>
      <c r="I348" s="1"/>
      <c r="J348" s="1"/>
    </row>
    <row r="349" spans="1:10" x14ac:dyDescent="0.3">
      <c r="A349">
        <v>40</v>
      </c>
      <c r="B349" s="1">
        <v>1996</v>
      </c>
      <c r="C349" s="1" t="s">
        <v>0</v>
      </c>
      <c r="D349" s="1">
        <v>53</v>
      </c>
      <c r="E349" s="1">
        <v>49</v>
      </c>
      <c r="F349" s="1">
        <v>4</v>
      </c>
      <c r="G349" s="1"/>
      <c r="H349" s="1"/>
      <c r="I349" s="1"/>
      <c r="J349" s="1"/>
    </row>
    <row r="350" spans="1:10" x14ac:dyDescent="0.3">
      <c r="A350">
        <v>40</v>
      </c>
      <c r="B350" s="1">
        <v>1997</v>
      </c>
      <c r="C350" s="1" t="s">
        <v>0</v>
      </c>
      <c r="D350" s="1">
        <v>54</v>
      </c>
      <c r="E350" s="1">
        <v>46</v>
      </c>
      <c r="F350" s="1">
        <v>8</v>
      </c>
      <c r="G350" s="1"/>
      <c r="H350" s="1"/>
      <c r="I350" s="1"/>
      <c r="J350" s="1"/>
    </row>
    <row r="351" spans="1:10" x14ac:dyDescent="0.3">
      <c r="A351">
        <v>40</v>
      </c>
      <c r="B351" s="1">
        <v>1998</v>
      </c>
      <c r="C351" s="1" t="s">
        <v>0</v>
      </c>
      <c r="D351" s="1">
        <v>48</v>
      </c>
      <c r="E351" s="1">
        <v>45</v>
      </c>
      <c r="F351" s="1">
        <v>3</v>
      </c>
      <c r="G351" s="1"/>
      <c r="H351" s="1"/>
      <c r="I351" s="1"/>
      <c r="J351" s="1"/>
    </row>
    <row r="352" spans="1:10" x14ac:dyDescent="0.3">
      <c r="A352">
        <v>40</v>
      </c>
      <c r="B352" s="1">
        <v>1999</v>
      </c>
      <c r="C352" s="1" t="s">
        <v>0</v>
      </c>
      <c r="D352" s="1">
        <v>40</v>
      </c>
      <c r="E352" s="1">
        <v>36</v>
      </c>
      <c r="F352" s="1">
        <v>4</v>
      </c>
      <c r="G352" s="1"/>
      <c r="H352" s="1"/>
      <c r="I352" s="1"/>
      <c r="J352" s="1"/>
    </row>
    <row r="353" spans="1:10" x14ac:dyDescent="0.3">
      <c r="A353">
        <v>40</v>
      </c>
      <c r="B353" s="1">
        <v>2000</v>
      </c>
      <c r="C353" s="1" t="s">
        <v>0</v>
      </c>
      <c r="D353" s="1">
        <v>25</v>
      </c>
      <c r="E353" s="1">
        <v>24</v>
      </c>
      <c r="F353" s="1">
        <v>1</v>
      </c>
      <c r="G353" s="1"/>
      <c r="H353" s="1"/>
      <c r="I353" s="1"/>
      <c r="J353" s="1"/>
    </row>
    <row r="354" spans="1:10" x14ac:dyDescent="0.3">
      <c r="A354">
        <v>40</v>
      </c>
      <c r="B354" s="1">
        <v>2001</v>
      </c>
      <c r="C354" s="1" t="s">
        <v>0</v>
      </c>
      <c r="D354" s="1">
        <v>40</v>
      </c>
      <c r="E354" s="1">
        <v>34</v>
      </c>
      <c r="F354" s="1">
        <v>6</v>
      </c>
      <c r="G354" s="1"/>
      <c r="H354" s="1"/>
      <c r="I354" s="1"/>
      <c r="J354" s="1"/>
    </row>
    <row r="355" spans="1:10" x14ac:dyDescent="0.3">
      <c r="A355">
        <v>40</v>
      </c>
      <c r="B355" s="1">
        <v>2002</v>
      </c>
      <c r="C355" s="1" t="s">
        <v>0</v>
      </c>
      <c r="D355" s="1">
        <v>38</v>
      </c>
      <c r="E355" s="1">
        <v>37</v>
      </c>
      <c r="F355" s="1">
        <v>1</v>
      </c>
      <c r="G355" s="1"/>
      <c r="H355" s="1"/>
      <c r="I355" s="1"/>
      <c r="J355" s="1"/>
    </row>
    <row r="356" spans="1:10" x14ac:dyDescent="0.3">
      <c r="A356">
        <v>40</v>
      </c>
      <c r="B356" s="1">
        <v>2003</v>
      </c>
      <c r="C356" s="1" t="s">
        <v>0</v>
      </c>
      <c r="D356" s="1">
        <v>40</v>
      </c>
      <c r="E356" s="1">
        <v>35</v>
      </c>
      <c r="F356" s="1">
        <v>5</v>
      </c>
      <c r="G356" s="1"/>
      <c r="H356" s="1"/>
      <c r="I356" s="1"/>
      <c r="J356" s="1"/>
    </row>
    <row r="357" spans="1:10" x14ac:dyDescent="0.3">
      <c r="A357">
        <v>40</v>
      </c>
      <c r="B357" s="1">
        <v>2004</v>
      </c>
      <c r="C357" s="1" t="s">
        <v>0</v>
      </c>
      <c r="D357" s="1">
        <v>40</v>
      </c>
      <c r="E357" s="1">
        <v>36</v>
      </c>
      <c r="F357" s="1">
        <v>4</v>
      </c>
      <c r="G357" s="1"/>
      <c r="H357" s="1"/>
      <c r="I357" s="1"/>
      <c r="J357" s="1"/>
    </row>
    <row r="358" spans="1:10" x14ac:dyDescent="0.3">
      <c r="A358">
        <v>40</v>
      </c>
      <c r="B358" s="1">
        <v>2005</v>
      </c>
      <c r="C358" s="1" t="s">
        <v>0</v>
      </c>
      <c r="D358" s="1">
        <v>44</v>
      </c>
      <c r="E358" s="1">
        <v>41</v>
      </c>
      <c r="F358" s="1">
        <v>3</v>
      </c>
      <c r="G358" s="1"/>
      <c r="H358" s="1"/>
      <c r="I358" s="1"/>
      <c r="J358" s="1"/>
    </row>
    <row r="359" spans="1:10" x14ac:dyDescent="0.3">
      <c r="A359">
        <v>40</v>
      </c>
      <c r="B359" s="1">
        <v>2006</v>
      </c>
      <c r="C359" s="1" t="s">
        <v>0</v>
      </c>
      <c r="D359" s="1">
        <v>35</v>
      </c>
      <c r="E359" s="1">
        <v>30</v>
      </c>
      <c r="F359" s="1">
        <v>5</v>
      </c>
      <c r="G359" s="1"/>
      <c r="H359" s="1"/>
      <c r="I359" s="1"/>
      <c r="J359" s="1"/>
    </row>
    <row r="360" spans="1:10" x14ac:dyDescent="0.3">
      <c r="A360">
        <v>40</v>
      </c>
      <c r="B360" s="1">
        <v>2007</v>
      </c>
      <c r="C360" s="1" t="s">
        <v>0</v>
      </c>
      <c r="D360" s="1">
        <v>28</v>
      </c>
      <c r="E360" s="1">
        <v>25</v>
      </c>
      <c r="F360" s="1">
        <v>3</v>
      </c>
      <c r="G360" s="1"/>
      <c r="H360" s="1"/>
      <c r="I360" s="1"/>
      <c r="J360" s="1"/>
    </row>
    <row r="361" spans="1:10" x14ac:dyDescent="0.3">
      <c r="A361">
        <v>40</v>
      </c>
      <c r="B361" s="1">
        <v>2008</v>
      </c>
      <c r="C361" s="1" t="s">
        <v>0</v>
      </c>
      <c r="D361" s="1">
        <v>43</v>
      </c>
      <c r="E361" s="1">
        <v>39</v>
      </c>
      <c r="F361" s="1">
        <v>4</v>
      </c>
      <c r="G361" s="1"/>
      <c r="H361" s="1"/>
      <c r="I361" s="1"/>
      <c r="J361" s="1"/>
    </row>
    <row r="362" spans="1:10" x14ac:dyDescent="0.3">
      <c r="A362">
        <v>40</v>
      </c>
      <c r="B362" s="1">
        <v>2009</v>
      </c>
      <c r="C362" s="1" t="s">
        <v>0</v>
      </c>
      <c r="D362" s="1">
        <v>69</v>
      </c>
      <c r="E362" s="1">
        <v>61</v>
      </c>
      <c r="F362" s="1">
        <v>8</v>
      </c>
      <c r="G362" s="1"/>
      <c r="H362" s="1"/>
      <c r="I362" s="1"/>
      <c r="J362" s="1"/>
    </row>
    <row r="363" spans="1:10" x14ac:dyDescent="0.3">
      <c r="A363">
        <v>40</v>
      </c>
      <c r="B363" s="1">
        <v>2010</v>
      </c>
      <c r="C363" s="1" t="s">
        <v>0</v>
      </c>
      <c r="D363" s="1">
        <v>59</v>
      </c>
      <c r="E363" s="1">
        <v>57</v>
      </c>
      <c r="F363" s="1">
        <v>2</v>
      </c>
      <c r="G363" s="1"/>
      <c r="H363" s="1"/>
      <c r="I363" s="1"/>
      <c r="J363" s="1"/>
    </row>
    <row r="364" spans="1:10" x14ac:dyDescent="0.3">
      <c r="A364">
        <v>40</v>
      </c>
      <c r="B364" s="1">
        <v>2011</v>
      </c>
      <c r="C364" s="1" t="s">
        <v>0</v>
      </c>
      <c r="D364" s="1">
        <v>72</v>
      </c>
      <c r="E364" s="1">
        <v>59</v>
      </c>
      <c r="F364" s="1">
        <v>12</v>
      </c>
      <c r="G364" s="1">
        <v>1</v>
      </c>
      <c r="H364" s="1"/>
      <c r="I364" s="1"/>
      <c r="J364" s="1"/>
    </row>
    <row r="365" spans="1:10" x14ac:dyDescent="0.3">
      <c r="A365">
        <v>40</v>
      </c>
      <c r="B365" s="1">
        <v>2012</v>
      </c>
      <c r="C365" s="1" t="s">
        <v>0</v>
      </c>
      <c r="D365" s="1">
        <v>75</v>
      </c>
      <c r="E365" s="1">
        <v>66</v>
      </c>
      <c r="F365" s="1">
        <v>9</v>
      </c>
      <c r="G365" s="1"/>
      <c r="H365" s="1"/>
      <c r="I365" s="1"/>
      <c r="J365" s="1"/>
    </row>
    <row r="366" spans="1:10" x14ac:dyDescent="0.3">
      <c r="A366">
        <v>40</v>
      </c>
      <c r="B366" s="1">
        <v>2013</v>
      </c>
      <c r="C366" s="1" t="s">
        <v>0</v>
      </c>
      <c r="D366" s="1">
        <v>65</v>
      </c>
      <c r="E366" s="1">
        <v>56</v>
      </c>
      <c r="F366" s="1">
        <v>9</v>
      </c>
      <c r="G366" s="1"/>
      <c r="H366" s="1"/>
      <c r="I366" s="1"/>
      <c r="J366" s="1"/>
    </row>
    <row r="367" spans="1:10" x14ac:dyDescent="0.3">
      <c r="A367">
        <v>40</v>
      </c>
      <c r="B367" s="1">
        <v>2014</v>
      </c>
      <c r="C367" s="1" t="s">
        <v>0</v>
      </c>
      <c r="D367" s="1">
        <v>93</v>
      </c>
      <c r="E367" s="1">
        <v>84</v>
      </c>
      <c r="F367" s="1">
        <v>9</v>
      </c>
      <c r="G367" s="1"/>
      <c r="H367" s="1"/>
      <c r="I367" s="1"/>
      <c r="J367" s="1"/>
    </row>
    <row r="368" spans="1:10" x14ac:dyDescent="0.3">
      <c r="A368">
        <v>40</v>
      </c>
      <c r="B368" s="1">
        <v>2015</v>
      </c>
      <c r="C368" s="1" t="s">
        <v>0</v>
      </c>
      <c r="D368" s="1">
        <v>108</v>
      </c>
      <c r="E368" s="1">
        <v>95</v>
      </c>
      <c r="F368" s="1">
        <v>13</v>
      </c>
      <c r="G368" s="1"/>
      <c r="H368" s="1"/>
      <c r="I368" s="1"/>
      <c r="J368" s="1"/>
    </row>
    <row r="369" spans="1:10" x14ac:dyDescent="0.3">
      <c r="A369">
        <v>40</v>
      </c>
      <c r="B369" s="1">
        <v>2016</v>
      </c>
      <c r="C369" s="1" t="s">
        <v>0</v>
      </c>
      <c r="D369" s="1">
        <v>130</v>
      </c>
      <c r="E369" s="1">
        <v>119</v>
      </c>
      <c r="F369" s="1">
        <v>11</v>
      </c>
      <c r="G369" s="1"/>
      <c r="H369" s="1"/>
      <c r="I369" s="1"/>
      <c r="J369" s="1"/>
    </row>
    <row r="370" spans="1:10" x14ac:dyDescent="0.3">
      <c r="A370">
        <v>40</v>
      </c>
      <c r="B370" s="1">
        <v>2017</v>
      </c>
      <c r="C370" s="1" t="s">
        <v>0</v>
      </c>
      <c r="D370" s="1">
        <v>190</v>
      </c>
      <c r="E370" s="1">
        <v>172</v>
      </c>
      <c r="F370" s="1">
        <v>18</v>
      </c>
      <c r="G370" s="1"/>
      <c r="H370" s="1"/>
      <c r="I370" s="1"/>
      <c r="J370" s="1"/>
    </row>
    <row r="371" spans="1:10" x14ac:dyDescent="0.3">
      <c r="A371">
        <v>40</v>
      </c>
      <c r="B371" s="1">
        <v>2018</v>
      </c>
      <c r="C371" s="1" t="s">
        <v>0</v>
      </c>
      <c r="D371" s="1">
        <v>155</v>
      </c>
      <c r="E371" s="1">
        <v>142</v>
      </c>
      <c r="F371" s="1">
        <v>13</v>
      </c>
      <c r="G371" s="1"/>
      <c r="H371" s="1"/>
      <c r="I371" s="1"/>
      <c r="J371" s="1"/>
    </row>
    <row r="372" spans="1:10" x14ac:dyDescent="0.3">
      <c r="A372">
        <v>40</v>
      </c>
      <c r="B372" s="1">
        <v>2019</v>
      </c>
      <c r="C372" s="1" t="s">
        <v>0</v>
      </c>
      <c r="D372" s="1">
        <v>148</v>
      </c>
      <c r="E372" s="1">
        <v>125</v>
      </c>
      <c r="F372" s="1">
        <v>23</v>
      </c>
      <c r="G372" s="1"/>
      <c r="H372" s="1"/>
      <c r="I372" s="1"/>
      <c r="J372" s="1"/>
    </row>
    <row r="373" spans="1:10" x14ac:dyDescent="0.3">
      <c r="A373">
        <v>40</v>
      </c>
      <c r="B373" s="1">
        <v>2020</v>
      </c>
      <c r="C373" s="1" t="s">
        <v>0</v>
      </c>
      <c r="D373" s="1">
        <v>121</v>
      </c>
      <c r="E373" s="1">
        <v>104</v>
      </c>
      <c r="F373" s="1">
        <v>17</v>
      </c>
      <c r="G373" s="1"/>
      <c r="H373" s="1"/>
      <c r="I373" s="1"/>
      <c r="J373" s="1"/>
    </row>
    <row r="374" spans="1:10" x14ac:dyDescent="0.3">
      <c r="A374">
        <v>40</v>
      </c>
      <c r="B374" s="1">
        <v>2021</v>
      </c>
      <c r="C374" s="1" t="s">
        <v>0</v>
      </c>
      <c r="D374" s="1">
        <v>90</v>
      </c>
      <c r="E374" s="1">
        <v>85</v>
      </c>
      <c r="F374" s="1">
        <v>5</v>
      </c>
      <c r="G374" s="1"/>
      <c r="H374" s="1"/>
      <c r="I374" s="1"/>
      <c r="J374" s="1"/>
    </row>
    <row r="375" spans="1:10" x14ac:dyDescent="0.3">
      <c r="A375">
        <v>40</v>
      </c>
      <c r="B375" s="1">
        <v>2022</v>
      </c>
      <c r="C375" s="1" t="s">
        <v>0</v>
      </c>
      <c r="D375" s="1">
        <v>82</v>
      </c>
      <c r="E375" s="1">
        <v>67</v>
      </c>
      <c r="F375" s="1">
        <v>15</v>
      </c>
      <c r="G375" s="1"/>
      <c r="H375" s="1"/>
      <c r="I375" s="1"/>
      <c r="J375" s="1"/>
    </row>
    <row r="376" spans="1:10" x14ac:dyDescent="0.3">
      <c r="A376">
        <v>40</v>
      </c>
      <c r="B376" s="1">
        <v>2023</v>
      </c>
      <c r="C376" s="1" t="s">
        <v>0</v>
      </c>
      <c r="D376" s="1">
        <v>86</v>
      </c>
      <c r="E376" s="1">
        <v>80</v>
      </c>
      <c r="F376" s="1">
        <v>6</v>
      </c>
      <c r="G376" s="1"/>
      <c r="H376" s="1"/>
      <c r="I376" s="1"/>
      <c r="J376" s="1"/>
    </row>
    <row r="377" spans="1:10" x14ac:dyDescent="0.3">
      <c r="A377">
        <v>40</v>
      </c>
      <c r="B377" s="1">
        <v>2024</v>
      </c>
      <c r="C377" s="1" t="s">
        <v>0</v>
      </c>
      <c r="D377" s="1">
        <v>88</v>
      </c>
      <c r="E377" s="1">
        <v>78</v>
      </c>
      <c r="F377" s="1">
        <v>10</v>
      </c>
      <c r="G377" s="1"/>
      <c r="H377" s="1"/>
      <c r="I377" s="1"/>
      <c r="J377" s="1"/>
    </row>
    <row r="378" spans="1:10" x14ac:dyDescent="0.3">
      <c r="A378" s="3">
        <v>45</v>
      </c>
      <c r="B378" s="1">
        <v>1990</v>
      </c>
      <c r="C378" s="1" t="s">
        <v>0</v>
      </c>
      <c r="D378" s="1">
        <v>55</v>
      </c>
      <c r="E378" s="1">
        <v>50</v>
      </c>
      <c r="F378" s="1">
        <v>5</v>
      </c>
      <c r="G378" s="1"/>
      <c r="H378" s="1"/>
      <c r="I378" s="1"/>
      <c r="J378" s="1"/>
    </row>
    <row r="379" spans="1:10" x14ac:dyDescent="0.3">
      <c r="A379">
        <v>45</v>
      </c>
      <c r="B379" s="1">
        <v>1991</v>
      </c>
      <c r="C379" s="1" t="s">
        <v>0</v>
      </c>
      <c r="D379" s="1">
        <v>64</v>
      </c>
      <c r="E379" s="1">
        <v>58</v>
      </c>
      <c r="F379" s="1">
        <v>6</v>
      </c>
      <c r="G379" s="1"/>
      <c r="H379" s="1"/>
      <c r="I379" s="1"/>
      <c r="J379" s="1"/>
    </row>
    <row r="380" spans="1:10" x14ac:dyDescent="0.3">
      <c r="A380">
        <v>45</v>
      </c>
      <c r="B380" s="1">
        <v>1992</v>
      </c>
      <c r="C380" s="1" t="s">
        <v>0</v>
      </c>
      <c r="D380" s="1">
        <v>49</v>
      </c>
      <c r="E380" s="1">
        <v>46</v>
      </c>
      <c r="F380" s="1">
        <v>3</v>
      </c>
      <c r="G380" s="1"/>
      <c r="H380" s="1"/>
      <c r="I380" s="1"/>
      <c r="J380" s="1"/>
    </row>
    <row r="381" spans="1:10" x14ac:dyDescent="0.3">
      <c r="A381">
        <v>45</v>
      </c>
      <c r="B381" s="1">
        <v>1993</v>
      </c>
      <c r="C381" s="1" t="s">
        <v>0</v>
      </c>
      <c r="D381" s="1">
        <v>40</v>
      </c>
      <c r="E381" s="1">
        <v>39</v>
      </c>
      <c r="F381" s="1">
        <v>1</v>
      </c>
      <c r="G381" s="1"/>
      <c r="H381" s="1"/>
      <c r="I381" s="1"/>
      <c r="J381" s="1"/>
    </row>
    <row r="382" spans="1:10" x14ac:dyDescent="0.3">
      <c r="A382">
        <v>45</v>
      </c>
      <c r="B382" s="1">
        <v>1994</v>
      </c>
      <c r="C382" s="1" t="s">
        <v>0</v>
      </c>
      <c r="D382" s="1">
        <v>29</v>
      </c>
      <c r="E382" s="1">
        <v>27</v>
      </c>
      <c r="F382" s="1">
        <v>2</v>
      </c>
      <c r="G382" s="1"/>
      <c r="H382" s="1"/>
      <c r="I382" s="1"/>
      <c r="J382" s="1"/>
    </row>
    <row r="383" spans="1:10" x14ac:dyDescent="0.3">
      <c r="A383">
        <v>45</v>
      </c>
      <c r="B383" s="1">
        <v>1995</v>
      </c>
      <c r="C383" s="1" t="s">
        <v>0</v>
      </c>
      <c r="D383" s="1">
        <v>50</v>
      </c>
      <c r="E383" s="1">
        <v>48</v>
      </c>
      <c r="F383" s="1">
        <v>2</v>
      </c>
      <c r="G383" s="1"/>
      <c r="H383" s="1"/>
      <c r="I383" s="1"/>
      <c r="J383" s="1"/>
    </row>
    <row r="384" spans="1:10" x14ac:dyDescent="0.3">
      <c r="A384">
        <v>45</v>
      </c>
      <c r="B384" s="1">
        <v>1996</v>
      </c>
      <c r="C384" s="1" t="s">
        <v>0</v>
      </c>
      <c r="D384" s="1">
        <v>43</v>
      </c>
      <c r="E384" s="1">
        <v>38</v>
      </c>
      <c r="F384" s="1">
        <v>5</v>
      </c>
      <c r="G384" s="1"/>
      <c r="H384" s="1"/>
      <c r="I384" s="1"/>
      <c r="J384" s="1"/>
    </row>
    <row r="385" spans="1:10" x14ac:dyDescent="0.3">
      <c r="A385">
        <v>45</v>
      </c>
      <c r="B385" s="1">
        <v>1997</v>
      </c>
      <c r="C385" s="1" t="s">
        <v>0</v>
      </c>
      <c r="D385" s="1">
        <v>35</v>
      </c>
      <c r="E385" s="1">
        <v>33</v>
      </c>
      <c r="F385" s="1">
        <v>2</v>
      </c>
      <c r="G385" s="1"/>
      <c r="H385" s="1"/>
      <c r="I385" s="1"/>
      <c r="J385" s="1"/>
    </row>
    <row r="386" spans="1:10" x14ac:dyDescent="0.3">
      <c r="A386">
        <v>45</v>
      </c>
      <c r="B386" s="1">
        <v>1998</v>
      </c>
      <c r="C386" s="1" t="s">
        <v>0</v>
      </c>
      <c r="D386" s="1">
        <v>43</v>
      </c>
      <c r="E386" s="1">
        <v>40</v>
      </c>
      <c r="F386" s="1">
        <v>3</v>
      </c>
      <c r="G386" s="1"/>
      <c r="H386" s="1"/>
      <c r="I386" s="1"/>
      <c r="J386" s="1"/>
    </row>
    <row r="387" spans="1:10" x14ac:dyDescent="0.3">
      <c r="A387">
        <v>45</v>
      </c>
      <c r="B387" s="1">
        <v>1999</v>
      </c>
      <c r="C387" s="1" t="s">
        <v>0</v>
      </c>
      <c r="D387" s="1">
        <v>35</v>
      </c>
      <c r="E387" s="1">
        <v>31</v>
      </c>
      <c r="F387" s="1">
        <v>4</v>
      </c>
      <c r="G387" s="1"/>
      <c r="H387" s="1"/>
      <c r="I387" s="1"/>
      <c r="J387" s="1"/>
    </row>
    <row r="388" spans="1:10" x14ac:dyDescent="0.3">
      <c r="A388">
        <v>45</v>
      </c>
      <c r="B388" s="1">
        <v>2000</v>
      </c>
      <c r="C388" s="1" t="s">
        <v>0</v>
      </c>
      <c r="D388" s="1">
        <v>28</v>
      </c>
      <c r="E388" s="1">
        <v>27</v>
      </c>
      <c r="F388" s="1">
        <v>1</v>
      </c>
      <c r="G388" s="1"/>
      <c r="H388" s="1"/>
      <c r="I388" s="1"/>
      <c r="J388" s="1"/>
    </row>
    <row r="389" spans="1:10" x14ac:dyDescent="0.3">
      <c r="A389">
        <v>45</v>
      </c>
      <c r="B389" s="1">
        <v>2001</v>
      </c>
      <c r="C389" s="1" t="s">
        <v>0</v>
      </c>
      <c r="D389" s="1">
        <v>41</v>
      </c>
      <c r="E389" s="1">
        <v>36</v>
      </c>
      <c r="F389" s="1">
        <v>5</v>
      </c>
      <c r="G389" s="1"/>
      <c r="H389" s="1"/>
      <c r="I389" s="1"/>
      <c r="J389" s="1"/>
    </row>
    <row r="390" spans="1:10" x14ac:dyDescent="0.3">
      <c r="A390">
        <v>45</v>
      </c>
      <c r="B390" s="1">
        <v>2002</v>
      </c>
      <c r="C390" s="1" t="s">
        <v>0</v>
      </c>
      <c r="D390" s="1">
        <v>24</v>
      </c>
      <c r="E390" s="1">
        <v>22</v>
      </c>
      <c r="F390" s="1">
        <v>2</v>
      </c>
      <c r="G390" s="1"/>
      <c r="H390" s="1"/>
      <c r="I390" s="1"/>
      <c r="J390" s="1"/>
    </row>
    <row r="391" spans="1:10" x14ac:dyDescent="0.3">
      <c r="A391">
        <v>45</v>
      </c>
      <c r="B391" s="1">
        <v>2003</v>
      </c>
      <c r="C391" s="1" t="s">
        <v>0</v>
      </c>
      <c r="D391" s="1">
        <v>48</v>
      </c>
      <c r="E391" s="1">
        <v>44</v>
      </c>
      <c r="F391" s="1">
        <v>4</v>
      </c>
      <c r="G391" s="1"/>
      <c r="H391" s="1"/>
      <c r="I391" s="1"/>
      <c r="J391" s="1"/>
    </row>
    <row r="392" spans="1:10" x14ac:dyDescent="0.3">
      <c r="A392">
        <v>45</v>
      </c>
      <c r="B392" s="1">
        <v>2004</v>
      </c>
      <c r="C392" s="1" t="s">
        <v>0</v>
      </c>
      <c r="D392" s="1">
        <v>19</v>
      </c>
      <c r="E392" s="1">
        <v>18</v>
      </c>
      <c r="F392" s="1">
        <v>1</v>
      </c>
      <c r="G392" s="1"/>
      <c r="H392" s="1"/>
      <c r="I392" s="1"/>
      <c r="J392" s="1"/>
    </row>
    <row r="393" spans="1:10" x14ac:dyDescent="0.3">
      <c r="A393">
        <v>45</v>
      </c>
      <c r="B393" s="1">
        <v>2005</v>
      </c>
      <c r="C393" s="1" t="s">
        <v>0</v>
      </c>
      <c r="D393" s="1">
        <v>30</v>
      </c>
      <c r="E393" s="1">
        <v>27</v>
      </c>
      <c r="F393" s="1">
        <v>3</v>
      </c>
      <c r="G393" s="1"/>
      <c r="H393" s="1"/>
      <c r="I393" s="1"/>
      <c r="J393" s="1"/>
    </row>
    <row r="394" spans="1:10" x14ac:dyDescent="0.3">
      <c r="A394">
        <v>45</v>
      </c>
      <c r="B394" s="1">
        <v>2006</v>
      </c>
      <c r="C394" s="1" t="s">
        <v>0</v>
      </c>
      <c r="D394" s="1">
        <v>25</v>
      </c>
      <c r="E394" s="1">
        <v>22</v>
      </c>
      <c r="F394" s="1">
        <v>3</v>
      </c>
      <c r="G394" s="1"/>
      <c r="H394" s="1"/>
      <c r="I394" s="1"/>
      <c r="J394" s="1"/>
    </row>
    <row r="395" spans="1:10" x14ac:dyDescent="0.3">
      <c r="A395">
        <v>45</v>
      </c>
      <c r="B395" s="1">
        <v>2007</v>
      </c>
      <c r="C395" s="1" t="s">
        <v>0</v>
      </c>
      <c r="D395" s="1">
        <v>37</v>
      </c>
      <c r="E395" s="1">
        <v>34</v>
      </c>
      <c r="F395" s="1">
        <v>3</v>
      </c>
      <c r="G395" s="1"/>
      <c r="H395" s="1"/>
      <c r="I395" s="1"/>
      <c r="J395" s="1"/>
    </row>
    <row r="396" spans="1:10" x14ac:dyDescent="0.3">
      <c r="A396">
        <v>45</v>
      </c>
      <c r="B396" s="1">
        <v>2008</v>
      </c>
      <c r="C396" s="1" t="s">
        <v>0</v>
      </c>
      <c r="D396" s="1">
        <v>29</v>
      </c>
      <c r="E396" s="1">
        <v>27</v>
      </c>
      <c r="F396" s="1">
        <v>2</v>
      </c>
      <c r="G396" s="1"/>
      <c r="H396" s="1"/>
      <c r="I396" s="1"/>
      <c r="J396" s="1"/>
    </row>
    <row r="397" spans="1:10" x14ac:dyDescent="0.3">
      <c r="A397">
        <v>45</v>
      </c>
      <c r="B397" s="1">
        <v>2009</v>
      </c>
      <c r="C397" s="1" t="s">
        <v>0</v>
      </c>
      <c r="D397" s="1">
        <v>51</v>
      </c>
      <c r="E397" s="1">
        <v>42</v>
      </c>
      <c r="F397" s="1">
        <v>9</v>
      </c>
      <c r="G397" s="1"/>
      <c r="H397" s="1"/>
      <c r="I397" s="1"/>
      <c r="J397" s="1"/>
    </row>
    <row r="398" spans="1:10" x14ac:dyDescent="0.3">
      <c r="A398">
        <v>45</v>
      </c>
      <c r="B398" s="1">
        <v>2010</v>
      </c>
      <c r="C398" s="1" t="s">
        <v>0</v>
      </c>
      <c r="D398" s="1">
        <v>32</v>
      </c>
      <c r="E398" s="1">
        <v>29</v>
      </c>
      <c r="F398" s="1">
        <v>3</v>
      </c>
      <c r="G398" s="1"/>
      <c r="H398" s="1"/>
      <c r="I398" s="1"/>
      <c r="J398" s="1"/>
    </row>
    <row r="399" spans="1:10" x14ac:dyDescent="0.3">
      <c r="A399">
        <v>45</v>
      </c>
      <c r="B399" s="1">
        <v>2011</v>
      </c>
      <c r="C399" s="1" t="s">
        <v>0</v>
      </c>
      <c r="D399" s="1">
        <v>63</v>
      </c>
      <c r="E399" s="1">
        <v>54</v>
      </c>
      <c r="F399" s="1">
        <v>9</v>
      </c>
      <c r="G399" s="1"/>
      <c r="H399" s="1"/>
      <c r="I399" s="1"/>
      <c r="J399" s="1"/>
    </row>
    <row r="400" spans="1:10" x14ac:dyDescent="0.3">
      <c r="A400">
        <v>45</v>
      </c>
      <c r="B400" s="1">
        <v>2012</v>
      </c>
      <c r="C400" s="1" t="s">
        <v>0</v>
      </c>
      <c r="D400" s="1">
        <v>65</v>
      </c>
      <c r="E400" s="1">
        <v>55</v>
      </c>
      <c r="F400" s="1">
        <v>10</v>
      </c>
      <c r="G400" s="1"/>
      <c r="H400" s="1"/>
      <c r="I400" s="1"/>
      <c r="J400" s="1"/>
    </row>
    <row r="401" spans="1:10" x14ac:dyDescent="0.3">
      <c r="A401">
        <v>45</v>
      </c>
      <c r="B401" s="1">
        <v>2013</v>
      </c>
      <c r="C401" s="1" t="s">
        <v>0</v>
      </c>
      <c r="D401" s="1">
        <v>54</v>
      </c>
      <c r="E401" s="1">
        <v>47</v>
      </c>
      <c r="F401" s="1">
        <v>7</v>
      </c>
      <c r="G401" s="1"/>
      <c r="H401" s="1"/>
      <c r="I401" s="1"/>
      <c r="J401" s="1"/>
    </row>
    <row r="402" spans="1:10" x14ac:dyDescent="0.3">
      <c r="A402">
        <v>45</v>
      </c>
      <c r="B402" s="1">
        <v>2014</v>
      </c>
      <c r="C402" s="1" t="s">
        <v>0</v>
      </c>
      <c r="D402" s="1">
        <v>70</v>
      </c>
      <c r="E402" s="1">
        <v>60</v>
      </c>
      <c r="F402" s="1">
        <v>10</v>
      </c>
      <c r="G402" s="1"/>
      <c r="H402" s="1"/>
      <c r="I402" s="1"/>
      <c r="J402" s="1"/>
    </row>
    <row r="403" spans="1:10" x14ac:dyDescent="0.3">
      <c r="A403">
        <v>45</v>
      </c>
      <c r="B403" s="1">
        <v>2015</v>
      </c>
      <c r="C403" s="1" t="s">
        <v>0</v>
      </c>
      <c r="D403" s="1">
        <v>72</v>
      </c>
      <c r="E403" s="1">
        <v>66</v>
      </c>
      <c r="F403" s="1">
        <v>6</v>
      </c>
      <c r="G403" s="1"/>
      <c r="H403" s="1"/>
      <c r="I403" s="1"/>
      <c r="J403" s="1"/>
    </row>
    <row r="404" spans="1:10" x14ac:dyDescent="0.3">
      <c r="A404">
        <v>45</v>
      </c>
      <c r="B404" s="1">
        <v>2016</v>
      </c>
      <c r="C404" s="1" t="s">
        <v>0</v>
      </c>
      <c r="D404" s="1">
        <v>89</v>
      </c>
      <c r="E404" s="1">
        <v>80</v>
      </c>
      <c r="F404" s="1">
        <v>9</v>
      </c>
      <c r="G404" s="1"/>
      <c r="H404" s="1"/>
      <c r="I404" s="1"/>
      <c r="J404" s="1"/>
    </row>
    <row r="405" spans="1:10" x14ac:dyDescent="0.3">
      <c r="A405">
        <v>45</v>
      </c>
      <c r="B405" s="1">
        <v>2017</v>
      </c>
      <c r="C405" s="1" t="s">
        <v>0</v>
      </c>
      <c r="D405" s="1">
        <v>130</v>
      </c>
      <c r="E405" s="1">
        <v>122</v>
      </c>
      <c r="F405" s="1">
        <v>8</v>
      </c>
      <c r="G405" s="1"/>
      <c r="H405" s="1"/>
      <c r="I405" s="1"/>
      <c r="J405" s="1"/>
    </row>
    <row r="406" spans="1:10" x14ac:dyDescent="0.3">
      <c r="A406">
        <v>45</v>
      </c>
      <c r="B406" s="1">
        <v>2018</v>
      </c>
      <c r="C406" s="1" t="s">
        <v>0</v>
      </c>
      <c r="D406" s="1">
        <v>116</v>
      </c>
      <c r="E406" s="1">
        <v>108</v>
      </c>
      <c r="F406" s="1">
        <v>8</v>
      </c>
      <c r="G406" s="1"/>
      <c r="H406" s="1"/>
      <c r="I406" s="1"/>
      <c r="J406" s="1"/>
    </row>
    <row r="407" spans="1:10" x14ac:dyDescent="0.3">
      <c r="A407">
        <v>45</v>
      </c>
      <c r="B407" s="1">
        <v>2019</v>
      </c>
      <c r="C407" s="1" t="s">
        <v>0</v>
      </c>
      <c r="D407" s="1">
        <v>124</v>
      </c>
      <c r="E407" s="1">
        <v>116</v>
      </c>
      <c r="F407" s="1">
        <v>8</v>
      </c>
      <c r="G407" s="1"/>
      <c r="H407" s="1"/>
      <c r="I407" s="1"/>
      <c r="J407" s="1"/>
    </row>
    <row r="408" spans="1:10" x14ac:dyDescent="0.3">
      <c r="A408">
        <v>45</v>
      </c>
      <c r="B408" s="1">
        <v>2020</v>
      </c>
      <c r="C408" s="1" t="s">
        <v>0</v>
      </c>
      <c r="D408" s="1">
        <v>120</v>
      </c>
      <c r="E408" s="1">
        <v>115</v>
      </c>
      <c r="F408" s="1">
        <v>5</v>
      </c>
      <c r="G408" s="1"/>
      <c r="H408" s="1"/>
      <c r="I408" s="1"/>
      <c r="J408" s="1"/>
    </row>
    <row r="409" spans="1:10" x14ac:dyDescent="0.3">
      <c r="A409">
        <v>45</v>
      </c>
      <c r="B409" s="1">
        <v>2021</v>
      </c>
      <c r="C409" s="1" t="s">
        <v>0</v>
      </c>
      <c r="D409" s="1">
        <v>82</v>
      </c>
      <c r="E409" s="1">
        <v>73</v>
      </c>
      <c r="F409" s="1">
        <v>9</v>
      </c>
      <c r="G409" s="1"/>
      <c r="H409" s="1"/>
      <c r="I409" s="1"/>
      <c r="J409" s="1"/>
    </row>
    <row r="410" spans="1:10" x14ac:dyDescent="0.3">
      <c r="A410">
        <v>45</v>
      </c>
      <c r="B410" s="1">
        <v>2022</v>
      </c>
      <c r="C410" s="1" t="s">
        <v>0</v>
      </c>
      <c r="D410" s="1">
        <v>66</v>
      </c>
      <c r="E410" s="1">
        <v>58</v>
      </c>
      <c r="F410" s="1">
        <v>8</v>
      </c>
      <c r="G410" s="1"/>
      <c r="H410" s="1"/>
      <c r="I410" s="1"/>
      <c r="J410" s="1"/>
    </row>
    <row r="411" spans="1:10" x14ac:dyDescent="0.3">
      <c r="A411">
        <v>45</v>
      </c>
      <c r="B411" s="1">
        <v>2023</v>
      </c>
      <c r="C411" s="1" t="s">
        <v>0</v>
      </c>
      <c r="D411" s="1">
        <v>70</v>
      </c>
      <c r="E411" s="1">
        <v>63</v>
      </c>
      <c r="F411" s="1">
        <v>7</v>
      </c>
      <c r="G411" s="1"/>
      <c r="H411" s="1"/>
      <c r="I411" s="1"/>
      <c r="J411" s="1"/>
    </row>
    <row r="412" spans="1:10" x14ac:dyDescent="0.3">
      <c r="A412">
        <v>45</v>
      </c>
      <c r="B412" s="1">
        <v>2024</v>
      </c>
      <c r="C412" s="1" t="s">
        <v>0</v>
      </c>
      <c r="D412" s="1">
        <v>86</v>
      </c>
      <c r="E412" s="1">
        <v>75</v>
      </c>
      <c r="F412" s="1">
        <v>11</v>
      </c>
      <c r="G412" s="1"/>
      <c r="H412" s="1"/>
      <c r="I412" s="1"/>
      <c r="J412" s="1"/>
    </row>
    <row r="413" spans="1:10" x14ac:dyDescent="0.3">
      <c r="A413" s="3">
        <v>50</v>
      </c>
      <c r="B413" s="1">
        <v>1990</v>
      </c>
      <c r="C413" s="1" t="s">
        <v>0</v>
      </c>
      <c r="D413" s="1">
        <v>47</v>
      </c>
      <c r="E413" s="1">
        <v>43</v>
      </c>
      <c r="F413" s="1">
        <v>4</v>
      </c>
      <c r="G413" s="1"/>
      <c r="H413" s="1"/>
      <c r="I413" s="1"/>
      <c r="J413" s="1"/>
    </row>
    <row r="414" spans="1:10" x14ac:dyDescent="0.3">
      <c r="A414">
        <v>50</v>
      </c>
      <c r="B414" s="1">
        <v>1991</v>
      </c>
      <c r="C414" s="1" t="s">
        <v>0</v>
      </c>
      <c r="D414" s="1">
        <v>46</v>
      </c>
      <c r="E414" s="1">
        <v>46</v>
      </c>
      <c r="F414" s="1"/>
      <c r="G414" s="1"/>
      <c r="H414" s="1"/>
      <c r="I414" s="1"/>
      <c r="J414" s="1"/>
    </row>
    <row r="415" spans="1:10" x14ac:dyDescent="0.3">
      <c r="A415">
        <v>50</v>
      </c>
      <c r="B415" s="1">
        <v>1992</v>
      </c>
      <c r="C415" s="1" t="s">
        <v>0</v>
      </c>
      <c r="D415" s="1">
        <v>36</v>
      </c>
      <c r="E415" s="1">
        <v>32</v>
      </c>
      <c r="F415" s="1">
        <v>4</v>
      </c>
      <c r="G415" s="1"/>
      <c r="H415" s="1"/>
      <c r="I415" s="1"/>
      <c r="J415" s="1"/>
    </row>
    <row r="416" spans="1:10" x14ac:dyDescent="0.3">
      <c r="A416">
        <v>50</v>
      </c>
      <c r="B416" s="1">
        <v>1993</v>
      </c>
      <c r="C416" s="1" t="s">
        <v>0</v>
      </c>
      <c r="D416" s="1">
        <v>31</v>
      </c>
      <c r="E416" s="1">
        <v>30</v>
      </c>
      <c r="F416" s="1">
        <v>1</v>
      </c>
      <c r="G416" s="1"/>
      <c r="H416" s="1"/>
      <c r="I416" s="1"/>
      <c r="J416" s="1"/>
    </row>
    <row r="417" spans="1:10" x14ac:dyDescent="0.3">
      <c r="A417">
        <v>50</v>
      </c>
      <c r="B417" s="1">
        <v>1994</v>
      </c>
      <c r="C417" s="1" t="s">
        <v>0</v>
      </c>
      <c r="D417" s="1">
        <v>31</v>
      </c>
      <c r="E417" s="1">
        <v>29</v>
      </c>
      <c r="F417" s="1">
        <v>2</v>
      </c>
      <c r="G417" s="1"/>
      <c r="H417" s="1"/>
      <c r="I417" s="1"/>
      <c r="J417" s="1"/>
    </row>
    <row r="418" spans="1:10" x14ac:dyDescent="0.3">
      <c r="A418">
        <v>50</v>
      </c>
      <c r="B418" s="1">
        <v>1995</v>
      </c>
      <c r="C418" s="1" t="s">
        <v>0</v>
      </c>
      <c r="D418" s="1">
        <v>32</v>
      </c>
      <c r="E418" s="1">
        <v>26</v>
      </c>
      <c r="F418" s="1">
        <v>6</v>
      </c>
      <c r="G418" s="1"/>
      <c r="H418" s="1"/>
      <c r="I418" s="1"/>
      <c r="J418" s="1"/>
    </row>
    <row r="419" spans="1:10" x14ac:dyDescent="0.3">
      <c r="A419">
        <v>50</v>
      </c>
      <c r="B419" s="1">
        <v>1996</v>
      </c>
      <c r="C419" s="1" t="s">
        <v>0</v>
      </c>
      <c r="D419" s="1">
        <v>25</v>
      </c>
      <c r="E419" s="1">
        <v>25</v>
      </c>
      <c r="F419" s="1"/>
      <c r="G419" s="1"/>
      <c r="H419" s="1"/>
      <c r="I419" s="1"/>
      <c r="J419" s="1"/>
    </row>
    <row r="420" spans="1:10" x14ac:dyDescent="0.3">
      <c r="A420">
        <v>50</v>
      </c>
      <c r="B420" s="1">
        <v>1997</v>
      </c>
      <c r="C420" s="1" t="s">
        <v>0</v>
      </c>
      <c r="D420" s="1">
        <v>37</v>
      </c>
      <c r="E420" s="1">
        <v>35</v>
      </c>
      <c r="F420" s="1">
        <v>2</v>
      </c>
      <c r="G420" s="1"/>
      <c r="H420" s="1"/>
      <c r="I420" s="1"/>
      <c r="J420" s="1"/>
    </row>
    <row r="421" spans="1:10" x14ac:dyDescent="0.3">
      <c r="A421">
        <v>50</v>
      </c>
      <c r="B421" s="1">
        <v>1998</v>
      </c>
      <c r="C421" s="1" t="s">
        <v>0</v>
      </c>
      <c r="D421" s="1">
        <v>47</v>
      </c>
      <c r="E421" s="1">
        <v>41</v>
      </c>
      <c r="F421" s="1">
        <v>6</v>
      </c>
      <c r="G421" s="1"/>
      <c r="H421" s="1"/>
      <c r="I421" s="1"/>
      <c r="J421" s="1"/>
    </row>
    <row r="422" spans="1:10" x14ac:dyDescent="0.3">
      <c r="A422">
        <v>50</v>
      </c>
      <c r="B422" s="1">
        <v>1999</v>
      </c>
      <c r="C422" s="1" t="s">
        <v>0</v>
      </c>
      <c r="D422" s="1">
        <v>30</v>
      </c>
      <c r="E422" s="1">
        <v>24</v>
      </c>
      <c r="F422" s="1">
        <v>6</v>
      </c>
      <c r="G422" s="1"/>
      <c r="H422" s="1"/>
      <c r="I422" s="1"/>
      <c r="J422" s="1"/>
    </row>
    <row r="423" spans="1:10" x14ac:dyDescent="0.3">
      <c r="A423">
        <v>50</v>
      </c>
      <c r="B423" s="1">
        <v>2000</v>
      </c>
      <c r="C423" s="1" t="s">
        <v>0</v>
      </c>
      <c r="D423" s="1">
        <v>31</v>
      </c>
      <c r="E423" s="1">
        <v>27</v>
      </c>
      <c r="F423" s="1">
        <v>4</v>
      </c>
      <c r="G423" s="1"/>
      <c r="H423" s="1"/>
      <c r="I423" s="1"/>
      <c r="J423" s="1"/>
    </row>
    <row r="424" spans="1:10" x14ac:dyDescent="0.3">
      <c r="A424">
        <v>50</v>
      </c>
      <c r="B424" s="1">
        <v>2001</v>
      </c>
      <c r="C424" s="1" t="s">
        <v>0</v>
      </c>
      <c r="D424" s="1">
        <v>23</v>
      </c>
      <c r="E424" s="1">
        <v>20</v>
      </c>
      <c r="F424" s="1">
        <v>3</v>
      </c>
      <c r="G424" s="1"/>
      <c r="H424" s="1"/>
      <c r="I424" s="1"/>
      <c r="J424" s="1"/>
    </row>
    <row r="425" spans="1:10" x14ac:dyDescent="0.3">
      <c r="A425">
        <v>50</v>
      </c>
      <c r="B425" s="1">
        <v>2002</v>
      </c>
      <c r="C425" s="1" t="s">
        <v>0</v>
      </c>
      <c r="D425" s="1">
        <v>23</v>
      </c>
      <c r="E425" s="1">
        <v>18</v>
      </c>
      <c r="F425" s="1">
        <v>5</v>
      </c>
      <c r="G425" s="1"/>
      <c r="H425" s="1"/>
      <c r="I425" s="1"/>
      <c r="J425" s="1"/>
    </row>
    <row r="426" spans="1:10" x14ac:dyDescent="0.3">
      <c r="A426">
        <v>50</v>
      </c>
      <c r="B426" s="1">
        <v>2003</v>
      </c>
      <c r="C426" s="1" t="s">
        <v>0</v>
      </c>
      <c r="D426" s="1">
        <v>25</v>
      </c>
      <c r="E426" s="1">
        <v>23</v>
      </c>
      <c r="F426" s="1">
        <v>2</v>
      </c>
      <c r="G426" s="1"/>
      <c r="H426" s="1"/>
      <c r="I426" s="1"/>
      <c r="J426" s="1"/>
    </row>
    <row r="427" spans="1:10" x14ac:dyDescent="0.3">
      <c r="A427">
        <v>50</v>
      </c>
      <c r="B427" s="1">
        <v>2004</v>
      </c>
      <c r="C427" s="1" t="s">
        <v>0</v>
      </c>
      <c r="D427" s="1">
        <v>18</v>
      </c>
      <c r="E427" s="1">
        <v>16</v>
      </c>
      <c r="F427" s="1">
        <v>2</v>
      </c>
      <c r="G427" s="1"/>
      <c r="H427" s="1"/>
      <c r="I427" s="1"/>
      <c r="J427" s="1"/>
    </row>
    <row r="428" spans="1:10" x14ac:dyDescent="0.3">
      <c r="A428">
        <v>50</v>
      </c>
      <c r="B428" s="1">
        <v>2005</v>
      </c>
      <c r="C428" s="1" t="s">
        <v>0</v>
      </c>
      <c r="D428" s="1">
        <v>25</v>
      </c>
      <c r="E428" s="1">
        <v>23</v>
      </c>
      <c r="F428" s="1">
        <v>2</v>
      </c>
      <c r="G428" s="1"/>
      <c r="H428" s="1"/>
      <c r="I428" s="1"/>
      <c r="J428" s="1"/>
    </row>
    <row r="429" spans="1:10" x14ac:dyDescent="0.3">
      <c r="A429">
        <v>50</v>
      </c>
      <c r="B429" s="1">
        <v>2006</v>
      </c>
      <c r="C429" s="1" t="s">
        <v>0</v>
      </c>
      <c r="D429" s="1">
        <v>32</v>
      </c>
      <c r="E429" s="1">
        <v>30</v>
      </c>
      <c r="F429" s="1">
        <v>2</v>
      </c>
      <c r="G429" s="1"/>
      <c r="H429" s="1"/>
      <c r="I429" s="1"/>
      <c r="J429" s="1"/>
    </row>
    <row r="430" spans="1:10" x14ac:dyDescent="0.3">
      <c r="A430">
        <v>50</v>
      </c>
      <c r="B430" s="1">
        <v>2007</v>
      </c>
      <c r="C430" s="1" t="s">
        <v>0</v>
      </c>
      <c r="D430" s="1">
        <v>33</v>
      </c>
      <c r="E430" s="1">
        <v>30</v>
      </c>
      <c r="F430" s="1">
        <v>3</v>
      </c>
      <c r="G430" s="1"/>
      <c r="H430" s="1"/>
      <c r="I430" s="1"/>
      <c r="J430" s="1"/>
    </row>
    <row r="431" spans="1:10" x14ac:dyDescent="0.3">
      <c r="A431">
        <v>50</v>
      </c>
      <c r="B431" s="1">
        <v>2008</v>
      </c>
      <c r="C431" s="1" t="s">
        <v>0</v>
      </c>
      <c r="D431" s="1">
        <v>20</v>
      </c>
      <c r="E431" s="1">
        <v>19</v>
      </c>
      <c r="F431" s="1">
        <v>1</v>
      </c>
      <c r="G431" s="1"/>
      <c r="H431" s="1"/>
      <c r="I431" s="1"/>
      <c r="J431" s="1"/>
    </row>
    <row r="432" spans="1:10" x14ac:dyDescent="0.3">
      <c r="A432">
        <v>50</v>
      </c>
      <c r="B432" s="1">
        <v>2009</v>
      </c>
      <c r="C432" s="1" t="s">
        <v>0</v>
      </c>
      <c r="D432" s="1">
        <v>46</v>
      </c>
      <c r="E432" s="1">
        <v>39</v>
      </c>
      <c r="F432" s="1">
        <v>7</v>
      </c>
      <c r="G432" s="1"/>
      <c r="H432" s="1"/>
      <c r="I432" s="1"/>
      <c r="J432" s="1"/>
    </row>
    <row r="433" spans="1:10" x14ac:dyDescent="0.3">
      <c r="A433">
        <v>50</v>
      </c>
      <c r="B433" s="1">
        <v>2010</v>
      </c>
      <c r="C433" s="1" t="s">
        <v>0</v>
      </c>
      <c r="D433" s="1">
        <v>30</v>
      </c>
      <c r="E433" s="1">
        <v>26</v>
      </c>
      <c r="F433" s="1">
        <v>4</v>
      </c>
      <c r="G433" s="1"/>
      <c r="H433" s="1"/>
      <c r="I433" s="1"/>
      <c r="J433" s="1"/>
    </row>
    <row r="434" spans="1:10" x14ac:dyDescent="0.3">
      <c r="A434">
        <v>50</v>
      </c>
      <c r="B434" s="1">
        <v>2011</v>
      </c>
      <c r="C434" s="1" t="s">
        <v>0</v>
      </c>
      <c r="D434" s="1">
        <v>38</v>
      </c>
      <c r="E434" s="1">
        <v>32</v>
      </c>
      <c r="F434" s="1">
        <v>6</v>
      </c>
      <c r="G434" s="1"/>
      <c r="H434" s="1"/>
      <c r="I434" s="1"/>
      <c r="J434" s="1"/>
    </row>
    <row r="435" spans="1:10" x14ac:dyDescent="0.3">
      <c r="A435">
        <v>50</v>
      </c>
      <c r="B435" s="1">
        <v>2012</v>
      </c>
      <c r="C435" s="1" t="s">
        <v>0</v>
      </c>
      <c r="D435" s="1">
        <v>41</v>
      </c>
      <c r="E435" s="1">
        <v>37</v>
      </c>
      <c r="F435" s="1">
        <v>4</v>
      </c>
      <c r="G435" s="1"/>
      <c r="H435" s="1"/>
      <c r="I435" s="1"/>
      <c r="J435" s="1"/>
    </row>
    <row r="436" spans="1:10" x14ac:dyDescent="0.3">
      <c r="A436">
        <v>50</v>
      </c>
      <c r="B436" s="1">
        <v>2013</v>
      </c>
      <c r="C436" s="1" t="s">
        <v>0</v>
      </c>
      <c r="D436" s="1">
        <v>50</v>
      </c>
      <c r="E436" s="1">
        <v>42</v>
      </c>
      <c r="F436" s="1">
        <v>8</v>
      </c>
      <c r="G436" s="1"/>
      <c r="H436" s="1"/>
      <c r="I436" s="1"/>
      <c r="J436" s="1"/>
    </row>
    <row r="437" spans="1:10" x14ac:dyDescent="0.3">
      <c r="A437">
        <v>50</v>
      </c>
      <c r="B437" s="1">
        <v>2014</v>
      </c>
      <c r="C437" s="1" t="s">
        <v>0</v>
      </c>
      <c r="D437" s="1">
        <v>49</v>
      </c>
      <c r="E437" s="1">
        <v>43</v>
      </c>
      <c r="F437" s="1">
        <v>6</v>
      </c>
      <c r="G437" s="1"/>
      <c r="H437" s="1"/>
      <c r="I437" s="1"/>
      <c r="J437" s="1"/>
    </row>
    <row r="438" spans="1:10" x14ac:dyDescent="0.3">
      <c r="A438">
        <v>50</v>
      </c>
      <c r="B438" s="1">
        <v>2015</v>
      </c>
      <c r="C438" s="1" t="s">
        <v>0</v>
      </c>
      <c r="D438" s="1">
        <v>53</v>
      </c>
      <c r="E438" s="1">
        <v>45</v>
      </c>
      <c r="F438" s="1">
        <v>8</v>
      </c>
      <c r="G438" s="1"/>
      <c r="H438" s="1"/>
      <c r="I438" s="1"/>
      <c r="J438" s="1"/>
    </row>
    <row r="439" spans="1:10" x14ac:dyDescent="0.3">
      <c r="A439">
        <v>50</v>
      </c>
      <c r="B439" s="1">
        <v>2016</v>
      </c>
      <c r="C439" s="1" t="s">
        <v>0</v>
      </c>
      <c r="D439" s="1">
        <v>71</v>
      </c>
      <c r="E439" s="1">
        <v>64</v>
      </c>
      <c r="F439" s="1">
        <v>7</v>
      </c>
      <c r="G439" s="1"/>
      <c r="H439" s="1"/>
      <c r="I439" s="1"/>
      <c r="J439" s="1"/>
    </row>
    <row r="440" spans="1:10" x14ac:dyDescent="0.3">
      <c r="A440">
        <v>50</v>
      </c>
      <c r="B440" s="1">
        <v>2017</v>
      </c>
      <c r="C440" s="1" t="s">
        <v>0</v>
      </c>
      <c r="D440" s="1">
        <v>105</v>
      </c>
      <c r="E440" s="1">
        <v>92</v>
      </c>
      <c r="F440" s="1">
        <v>13</v>
      </c>
      <c r="G440" s="1"/>
      <c r="H440" s="1"/>
      <c r="I440" s="1"/>
      <c r="J440" s="1"/>
    </row>
    <row r="441" spans="1:10" x14ac:dyDescent="0.3">
      <c r="A441">
        <v>50</v>
      </c>
      <c r="B441" s="1">
        <v>2018</v>
      </c>
      <c r="C441" s="1" t="s">
        <v>0</v>
      </c>
      <c r="D441" s="1">
        <v>77</v>
      </c>
      <c r="E441" s="1">
        <v>69</v>
      </c>
      <c r="F441" s="1">
        <v>8</v>
      </c>
      <c r="G441" s="1"/>
      <c r="H441" s="1"/>
      <c r="I441" s="1"/>
      <c r="J441" s="1"/>
    </row>
    <row r="442" spans="1:10" x14ac:dyDescent="0.3">
      <c r="A442">
        <v>50</v>
      </c>
      <c r="B442" s="1">
        <v>2019</v>
      </c>
      <c r="C442" s="1" t="s">
        <v>0</v>
      </c>
      <c r="D442" s="1">
        <v>86</v>
      </c>
      <c r="E442" s="1">
        <v>79</v>
      </c>
      <c r="F442" s="1">
        <v>7</v>
      </c>
      <c r="G442" s="1"/>
      <c r="H442" s="1"/>
      <c r="I442" s="1"/>
      <c r="J442" s="1"/>
    </row>
    <row r="443" spans="1:10" x14ac:dyDescent="0.3">
      <c r="A443">
        <v>50</v>
      </c>
      <c r="B443" s="1">
        <v>2020</v>
      </c>
      <c r="C443" s="1" t="s">
        <v>0</v>
      </c>
      <c r="D443" s="1">
        <v>70</v>
      </c>
      <c r="E443" s="1">
        <v>65</v>
      </c>
      <c r="F443" s="1">
        <v>5</v>
      </c>
      <c r="G443" s="1"/>
      <c r="H443" s="1"/>
      <c r="I443" s="1"/>
      <c r="J443" s="1"/>
    </row>
    <row r="444" spans="1:10" x14ac:dyDescent="0.3">
      <c r="A444">
        <v>50</v>
      </c>
      <c r="B444" s="1">
        <v>2021</v>
      </c>
      <c r="C444" s="1" t="s">
        <v>0</v>
      </c>
      <c r="D444" s="1">
        <v>67</v>
      </c>
      <c r="E444" s="1">
        <v>65</v>
      </c>
      <c r="F444" s="1">
        <v>2</v>
      </c>
      <c r="G444" s="1"/>
      <c r="H444" s="1"/>
      <c r="I444" s="1"/>
      <c r="J444" s="1"/>
    </row>
    <row r="445" spans="1:10" x14ac:dyDescent="0.3">
      <c r="A445">
        <v>50</v>
      </c>
      <c r="B445" s="1">
        <v>2022</v>
      </c>
      <c r="C445" s="1" t="s">
        <v>0</v>
      </c>
      <c r="D445" s="1">
        <v>40</v>
      </c>
      <c r="E445" s="1">
        <v>35</v>
      </c>
      <c r="F445" s="1">
        <v>5</v>
      </c>
      <c r="G445" s="1"/>
      <c r="H445" s="1"/>
      <c r="I445" s="1"/>
      <c r="J445" s="1"/>
    </row>
    <row r="446" spans="1:10" x14ac:dyDescent="0.3">
      <c r="A446">
        <v>50</v>
      </c>
      <c r="B446" s="1">
        <v>2023</v>
      </c>
      <c r="C446" s="1" t="s">
        <v>0</v>
      </c>
      <c r="D446" s="1">
        <v>42</v>
      </c>
      <c r="E446" s="1">
        <v>39</v>
      </c>
      <c r="F446" s="1">
        <v>3</v>
      </c>
      <c r="G446" s="1"/>
      <c r="H446" s="1"/>
      <c r="I446" s="1"/>
      <c r="J446" s="1"/>
    </row>
    <row r="447" spans="1:10" x14ac:dyDescent="0.3">
      <c r="A447">
        <v>50</v>
      </c>
      <c r="B447" s="1">
        <v>2024</v>
      </c>
      <c r="C447" s="1" t="s">
        <v>0</v>
      </c>
      <c r="D447" s="1">
        <v>49</v>
      </c>
      <c r="E447" s="1">
        <v>44</v>
      </c>
      <c r="F447" s="1">
        <v>5</v>
      </c>
      <c r="G447" s="1"/>
      <c r="H447" s="1"/>
      <c r="I447" s="1"/>
      <c r="J447" s="1"/>
    </row>
    <row r="448" spans="1:10" x14ac:dyDescent="0.3">
      <c r="A448" s="3">
        <v>55</v>
      </c>
      <c r="B448" s="1">
        <v>1990</v>
      </c>
      <c r="C448" s="1" t="s">
        <v>0</v>
      </c>
      <c r="D448" s="1">
        <v>30</v>
      </c>
      <c r="E448" s="1">
        <v>29</v>
      </c>
      <c r="F448" s="1">
        <v>1</v>
      </c>
      <c r="G448" s="1"/>
      <c r="H448" s="1"/>
      <c r="I448" s="1"/>
      <c r="J448" s="1"/>
    </row>
    <row r="449" spans="1:10" x14ac:dyDescent="0.3">
      <c r="A449">
        <v>55</v>
      </c>
      <c r="B449" s="1">
        <v>1991</v>
      </c>
      <c r="C449" s="1" t="s">
        <v>0</v>
      </c>
      <c r="D449" s="1">
        <v>36</v>
      </c>
      <c r="E449" s="1">
        <v>30</v>
      </c>
      <c r="F449" s="1">
        <v>6</v>
      </c>
      <c r="G449" s="1"/>
      <c r="H449" s="1"/>
      <c r="I449" s="1"/>
      <c r="J449" s="1"/>
    </row>
    <row r="450" spans="1:10" x14ac:dyDescent="0.3">
      <c r="A450">
        <v>55</v>
      </c>
      <c r="B450" s="1">
        <v>1992</v>
      </c>
      <c r="C450" s="1" t="s">
        <v>0</v>
      </c>
      <c r="D450" s="1">
        <v>26</v>
      </c>
      <c r="E450" s="1">
        <v>23</v>
      </c>
      <c r="F450" s="1">
        <v>3</v>
      </c>
      <c r="G450" s="1"/>
      <c r="H450" s="1"/>
      <c r="I450" s="1"/>
      <c r="J450" s="1"/>
    </row>
    <row r="451" spans="1:10" x14ac:dyDescent="0.3">
      <c r="A451">
        <v>55</v>
      </c>
      <c r="B451" s="1">
        <v>1993</v>
      </c>
      <c r="C451" s="1" t="s">
        <v>0</v>
      </c>
      <c r="D451" s="1">
        <v>33</v>
      </c>
      <c r="E451" s="1">
        <v>32</v>
      </c>
      <c r="F451" s="1">
        <v>1</v>
      </c>
      <c r="G451" s="1"/>
      <c r="H451" s="1"/>
      <c r="I451" s="1"/>
      <c r="J451" s="1"/>
    </row>
    <row r="452" spans="1:10" x14ac:dyDescent="0.3">
      <c r="A452">
        <v>55</v>
      </c>
      <c r="B452" s="1">
        <v>1994</v>
      </c>
      <c r="C452" s="1" t="s">
        <v>0</v>
      </c>
      <c r="D452" s="1">
        <v>36</v>
      </c>
      <c r="E452" s="1">
        <v>34</v>
      </c>
      <c r="F452" s="1">
        <v>2</v>
      </c>
      <c r="G452" s="1"/>
      <c r="H452" s="1"/>
      <c r="I452" s="1"/>
      <c r="J452" s="1"/>
    </row>
    <row r="453" spans="1:10" x14ac:dyDescent="0.3">
      <c r="A453">
        <v>55</v>
      </c>
      <c r="B453" s="1">
        <v>1995</v>
      </c>
      <c r="C453" s="1" t="s">
        <v>0</v>
      </c>
      <c r="D453" s="1">
        <v>33</v>
      </c>
      <c r="E453" s="1">
        <v>30</v>
      </c>
      <c r="F453" s="1">
        <v>3</v>
      </c>
      <c r="G453" s="1"/>
      <c r="H453" s="1"/>
      <c r="I453" s="1"/>
      <c r="J453" s="1"/>
    </row>
    <row r="454" spans="1:10" x14ac:dyDescent="0.3">
      <c r="A454">
        <v>55</v>
      </c>
      <c r="B454" s="1">
        <v>1996</v>
      </c>
      <c r="C454" s="1" t="s">
        <v>0</v>
      </c>
      <c r="D454" s="1">
        <v>22</v>
      </c>
      <c r="E454" s="1">
        <v>20</v>
      </c>
      <c r="F454" s="1">
        <v>2</v>
      </c>
      <c r="G454" s="1"/>
      <c r="H454" s="1"/>
      <c r="I454" s="1"/>
      <c r="J454" s="1"/>
    </row>
    <row r="455" spans="1:10" x14ac:dyDescent="0.3">
      <c r="A455">
        <v>55</v>
      </c>
      <c r="B455" s="1">
        <v>1997</v>
      </c>
      <c r="C455" s="1" t="s">
        <v>0</v>
      </c>
      <c r="D455" s="1">
        <v>33</v>
      </c>
      <c r="E455" s="1">
        <v>29</v>
      </c>
      <c r="F455" s="1">
        <v>4</v>
      </c>
      <c r="G455" s="1"/>
      <c r="H455" s="1"/>
      <c r="I455" s="1"/>
      <c r="J455" s="1"/>
    </row>
    <row r="456" spans="1:10" x14ac:dyDescent="0.3">
      <c r="A456">
        <v>55</v>
      </c>
      <c r="B456" s="1">
        <v>1998</v>
      </c>
      <c r="C456" s="1" t="s">
        <v>0</v>
      </c>
      <c r="D456" s="1">
        <v>22</v>
      </c>
      <c r="E456" s="1">
        <v>20</v>
      </c>
      <c r="F456" s="1">
        <v>2</v>
      </c>
      <c r="G456" s="1"/>
      <c r="H456" s="1"/>
      <c r="I456" s="1"/>
      <c r="J456" s="1"/>
    </row>
    <row r="457" spans="1:10" x14ac:dyDescent="0.3">
      <c r="A457">
        <v>55</v>
      </c>
      <c r="B457" s="1">
        <v>1999</v>
      </c>
      <c r="C457" s="1" t="s">
        <v>0</v>
      </c>
      <c r="D457" s="1">
        <v>28</v>
      </c>
      <c r="E457" s="1">
        <v>26</v>
      </c>
      <c r="F457" s="1">
        <v>2</v>
      </c>
      <c r="G457" s="1"/>
      <c r="H457" s="1"/>
      <c r="I457" s="1"/>
      <c r="J457" s="1"/>
    </row>
    <row r="458" spans="1:10" x14ac:dyDescent="0.3">
      <c r="A458">
        <v>55</v>
      </c>
      <c r="B458" s="1">
        <v>2000</v>
      </c>
      <c r="C458" s="1" t="s">
        <v>0</v>
      </c>
      <c r="D458" s="1">
        <v>35</v>
      </c>
      <c r="E458" s="1">
        <v>32</v>
      </c>
      <c r="F458" s="1">
        <v>3</v>
      </c>
      <c r="G458" s="1"/>
      <c r="H458" s="1"/>
      <c r="I458" s="1"/>
      <c r="J458" s="1"/>
    </row>
    <row r="459" spans="1:10" x14ac:dyDescent="0.3">
      <c r="A459">
        <v>55</v>
      </c>
      <c r="B459" s="1">
        <v>2001</v>
      </c>
      <c r="C459" s="1" t="s">
        <v>0</v>
      </c>
      <c r="D459" s="1">
        <v>17</v>
      </c>
      <c r="E459" s="1">
        <v>15</v>
      </c>
      <c r="F459" s="1">
        <v>2</v>
      </c>
      <c r="G459" s="1"/>
      <c r="H459" s="1"/>
      <c r="I459" s="1"/>
      <c r="J459" s="1"/>
    </row>
    <row r="460" spans="1:10" x14ac:dyDescent="0.3">
      <c r="A460">
        <v>55</v>
      </c>
      <c r="B460" s="1">
        <v>2002</v>
      </c>
      <c r="C460" s="1" t="s">
        <v>0</v>
      </c>
      <c r="D460" s="1">
        <v>26</v>
      </c>
      <c r="E460" s="1">
        <v>20</v>
      </c>
      <c r="F460" s="1">
        <v>6</v>
      </c>
      <c r="G460" s="1"/>
      <c r="H460" s="1"/>
      <c r="I460" s="1"/>
      <c r="J460" s="1"/>
    </row>
    <row r="461" spans="1:10" x14ac:dyDescent="0.3">
      <c r="A461">
        <v>55</v>
      </c>
      <c r="B461" s="1">
        <v>2003</v>
      </c>
      <c r="C461" s="1" t="s">
        <v>0</v>
      </c>
      <c r="D461" s="1">
        <v>23</v>
      </c>
      <c r="E461" s="1">
        <v>19</v>
      </c>
      <c r="F461" s="1">
        <v>4</v>
      </c>
      <c r="G461" s="1"/>
      <c r="H461" s="1"/>
      <c r="I461" s="1"/>
      <c r="J461" s="1"/>
    </row>
    <row r="462" spans="1:10" x14ac:dyDescent="0.3">
      <c r="A462">
        <v>55</v>
      </c>
      <c r="B462" s="1">
        <v>2004</v>
      </c>
      <c r="C462" s="1" t="s">
        <v>0</v>
      </c>
      <c r="D462" s="1">
        <v>23</v>
      </c>
      <c r="E462" s="1">
        <v>22</v>
      </c>
      <c r="F462" s="1">
        <v>1</v>
      </c>
      <c r="G462" s="1"/>
      <c r="H462" s="1"/>
      <c r="I462" s="1"/>
      <c r="J462" s="1"/>
    </row>
    <row r="463" spans="1:10" x14ac:dyDescent="0.3">
      <c r="A463">
        <v>55</v>
      </c>
      <c r="B463" s="1">
        <v>2005</v>
      </c>
      <c r="C463" s="1" t="s">
        <v>0</v>
      </c>
      <c r="D463" s="1">
        <v>17</v>
      </c>
      <c r="E463" s="1">
        <v>14</v>
      </c>
      <c r="F463" s="1">
        <v>3</v>
      </c>
      <c r="G463" s="1"/>
      <c r="H463" s="1"/>
      <c r="I463" s="1"/>
      <c r="J463" s="1"/>
    </row>
    <row r="464" spans="1:10" x14ac:dyDescent="0.3">
      <c r="A464">
        <v>55</v>
      </c>
      <c r="B464" s="1">
        <v>2006</v>
      </c>
      <c r="C464" s="1" t="s">
        <v>0</v>
      </c>
      <c r="D464" s="1">
        <v>17</v>
      </c>
      <c r="E464" s="1">
        <v>16</v>
      </c>
      <c r="F464" s="1">
        <v>1</v>
      </c>
      <c r="G464" s="1"/>
      <c r="H464" s="1"/>
      <c r="I464" s="1"/>
      <c r="J464" s="1"/>
    </row>
    <row r="465" spans="1:10" x14ac:dyDescent="0.3">
      <c r="A465">
        <v>55</v>
      </c>
      <c r="B465" s="1">
        <v>2007</v>
      </c>
      <c r="C465" s="1" t="s">
        <v>0</v>
      </c>
      <c r="D465" s="1">
        <v>30</v>
      </c>
      <c r="E465" s="1">
        <v>28</v>
      </c>
      <c r="F465" s="1">
        <v>2</v>
      </c>
      <c r="G465" s="1"/>
      <c r="H465" s="1"/>
      <c r="I465" s="1"/>
      <c r="J465" s="1"/>
    </row>
    <row r="466" spans="1:10" x14ac:dyDescent="0.3">
      <c r="A466">
        <v>55</v>
      </c>
      <c r="B466" s="1">
        <v>2008</v>
      </c>
      <c r="C466" s="1" t="s">
        <v>0</v>
      </c>
      <c r="D466" s="1">
        <v>18</v>
      </c>
      <c r="E466" s="1">
        <v>14</v>
      </c>
      <c r="F466" s="1">
        <v>4</v>
      </c>
      <c r="G466" s="1"/>
      <c r="H466" s="1"/>
      <c r="I466" s="1"/>
      <c r="J466" s="1"/>
    </row>
    <row r="467" spans="1:10" x14ac:dyDescent="0.3">
      <c r="A467">
        <v>55</v>
      </c>
      <c r="B467" s="1">
        <v>2009</v>
      </c>
      <c r="C467" s="1" t="s">
        <v>0</v>
      </c>
      <c r="D467" s="1">
        <v>39</v>
      </c>
      <c r="E467" s="1">
        <v>37</v>
      </c>
      <c r="F467" s="1">
        <v>2</v>
      </c>
      <c r="G467" s="1"/>
      <c r="H467" s="1"/>
      <c r="I467" s="1"/>
      <c r="J467" s="1"/>
    </row>
    <row r="468" spans="1:10" x14ac:dyDescent="0.3">
      <c r="A468">
        <v>55</v>
      </c>
      <c r="B468" s="1">
        <v>2010</v>
      </c>
      <c r="C468" s="1" t="s">
        <v>0</v>
      </c>
      <c r="D468" s="1">
        <v>30</v>
      </c>
      <c r="E468" s="1">
        <v>26</v>
      </c>
      <c r="F468" s="1">
        <v>4</v>
      </c>
      <c r="G468" s="1"/>
      <c r="H468" s="1"/>
      <c r="I468" s="1"/>
      <c r="J468" s="1"/>
    </row>
    <row r="469" spans="1:10" x14ac:dyDescent="0.3">
      <c r="A469">
        <v>55</v>
      </c>
      <c r="B469" s="1">
        <v>2011</v>
      </c>
      <c r="C469" s="1" t="s">
        <v>0</v>
      </c>
      <c r="D469" s="1">
        <v>37</v>
      </c>
      <c r="E469" s="1">
        <v>30</v>
      </c>
      <c r="F469" s="1">
        <v>7</v>
      </c>
      <c r="G469" s="1"/>
      <c r="H469" s="1"/>
      <c r="I469" s="1"/>
      <c r="J469" s="1"/>
    </row>
    <row r="470" spans="1:10" x14ac:dyDescent="0.3">
      <c r="A470">
        <v>55</v>
      </c>
      <c r="B470" s="1">
        <v>2012</v>
      </c>
      <c r="C470" s="1" t="s">
        <v>0</v>
      </c>
      <c r="D470" s="1">
        <v>40</v>
      </c>
      <c r="E470" s="1">
        <v>34</v>
      </c>
      <c r="F470" s="1">
        <v>6</v>
      </c>
      <c r="G470" s="1"/>
      <c r="H470" s="1"/>
      <c r="I470" s="1"/>
      <c r="J470" s="1"/>
    </row>
    <row r="471" spans="1:10" x14ac:dyDescent="0.3">
      <c r="A471">
        <v>55</v>
      </c>
      <c r="B471" s="1">
        <v>2013</v>
      </c>
      <c r="C471" s="1" t="s">
        <v>0</v>
      </c>
      <c r="D471" s="1">
        <v>38</v>
      </c>
      <c r="E471" s="1">
        <v>31</v>
      </c>
      <c r="F471" s="1">
        <v>7</v>
      </c>
      <c r="G471" s="1"/>
      <c r="H471" s="1"/>
      <c r="I471" s="1"/>
      <c r="J471" s="1"/>
    </row>
    <row r="472" spans="1:10" x14ac:dyDescent="0.3">
      <c r="A472">
        <v>55</v>
      </c>
      <c r="B472" s="1">
        <v>2014</v>
      </c>
      <c r="C472" s="1" t="s">
        <v>0</v>
      </c>
      <c r="D472" s="1">
        <v>35</v>
      </c>
      <c r="E472" s="1">
        <v>31</v>
      </c>
      <c r="F472" s="1">
        <v>4</v>
      </c>
      <c r="G472" s="1"/>
      <c r="H472" s="1"/>
      <c r="I472" s="1"/>
      <c r="J472" s="1"/>
    </row>
    <row r="473" spans="1:10" x14ac:dyDescent="0.3">
      <c r="A473">
        <v>55</v>
      </c>
      <c r="B473" s="1">
        <v>2015</v>
      </c>
      <c r="C473" s="1" t="s">
        <v>0</v>
      </c>
      <c r="D473" s="1">
        <v>28</v>
      </c>
      <c r="E473" s="1">
        <v>26</v>
      </c>
      <c r="F473" s="1">
        <v>2</v>
      </c>
      <c r="G473" s="1"/>
      <c r="H473" s="1"/>
      <c r="I473" s="1"/>
      <c r="J473" s="1"/>
    </row>
    <row r="474" spans="1:10" x14ac:dyDescent="0.3">
      <c r="A474">
        <v>55</v>
      </c>
      <c r="B474" s="1">
        <v>2016</v>
      </c>
      <c r="C474" s="1" t="s">
        <v>0</v>
      </c>
      <c r="D474" s="1">
        <v>57</v>
      </c>
      <c r="E474" s="1">
        <v>50</v>
      </c>
      <c r="F474" s="1">
        <v>7</v>
      </c>
      <c r="G474" s="1"/>
      <c r="H474" s="1"/>
      <c r="I474" s="1"/>
      <c r="J474" s="1"/>
    </row>
    <row r="475" spans="1:10" x14ac:dyDescent="0.3">
      <c r="A475">
        <v>55</v>
      </c>
      <c r="B475" s="1">
        <v>2017</v>
      </c>
      <c r="C475" s="1" t="s">
        <v>0</v>
      </c>
      <c r="D475" s="1">
        <v>82</v>
      </c>
      <c r="E475" s="1">
        <v>75</v>
      </c>
      <c r="F475" s="1">
        <v>7</v>
      </c>
      <c r="G475" s="1"/>
      <c r="H475" s="1"/>
      <c r="I475" s="1"/>
      <c r="J475" s="1"/>
    </row>
    <row r="476" spans="1:10" x14ac:dyDescent="0.3">
      <c r="A476">
        <v>55</v>
      </c>
      <c r="B476" s="1">
        <v>2018</v>
      </c>
      <c r="C476" s="1" t="s">
        <v>0</v>
      </c>
      <c r="D476" s="1">
        <v>46</v>
      </c>
      <c r="E476" s="1">
        <v>37</v>
      </c>
      <c r="F476" s="1">
        <v>9</v>
      </c>
      <c r="G476" s="1"/>
      <c r="H476" s="1"/>
      <c r="I476" s="1"/>
      <c r="J476" s="1"/>
    </row>
    <row r="477" spans="1:10" x14ac:dyDescent="0.3">
      <c r="A477">
        <v>55</v>
      </c>
      <c r="B477" s="1">
        <v>2019</v>
      </c>
      <c r="C477" s="1" t="s">
        <v>0</v>
      </c>
      <c r="D477" s="1">
        <v>58</v>
      </c>
      <c r="E477" s="1">
        <v>51</v>
      </c>
      <c r="F477" s="1">
        <v>7</v>
      </c>
      <c r="G477" s="1"/>
      <c r="H477" s="1"/>
      <c r="I477" s="1"/>
      <c r="J477" s="1"/>
    </row>
    <row r="478" spans="1:10" x14ac:dyDescent="0.3">
      <c r="A478">
        <v>55</v>
      </c>
      <c r="B478" s="1">
        <v>2020</v>
      </c>
      <c r="C478" s="1" t="s">
        <v>0</v>
      </c>
      <c r="D478" s="1">
        <v>57</v>
      </c>
      <c r="E478" s="1">
        <v>52</v>
      </c>
      <c r="F478" s="1">
        <v>5</v>
      </c>
      <c r="G478" s="1"/>
      <c r="H478" s="1"/>
      <c r="I478" s="1"/>
      <c r="J478" s="1"/>
    </row>
    <row r="479" spans="1:10" x14ac:dyDescent="0.3">
      <c r="A479">
        <v>55</v>
      </c>
      <c r="B479" s="1">
        <v>2021</v>
      </c>
      <c r="C479" s="1" t="s">
        <v>0</v>
      </c>
      <c r="D479" s="1">
        <v>42</v>
      </c>
      <c r="E479" s="1">
        <v>39</v>
      </c>
      <c r="F479" s="1">
        <v>3</v>
      </c>
      <c r="G479" s="1"/>
      <c r="H479" s="1"/>
      <c r="I479" s="1"/>
      <c r="J479" s="1"/>
    </row>
    <row r="480" spans="1:10" x14ac:dyDescent="0.3">
      <c r="A480">
        <v>55</v>
      </c>
      <c r="B480" s="1">
        <v>2022</v>
      </c>
      <c r="C480" s="1" t="s">
        <v>0</v>
      </c>
      <c r="D480" s="1">
        <v>51</v>
      </c>
      <c r="E480" s="1">
        <v>48</v>
      </c>
      <c r="F480" s="1">
        <v>3</v>
      </c>
      <c r="G480" s="1"/>
      <c r="H480" s="1"/>
      <c r="I480" s="1"/>
      <c r="J480" s="1"/>
    </row>
    <row r="481" spans="1:10" x14ac:dyDescent="0.3">
      <c r="A481">
        <v>55</v>
      </c>
      <c r="B481" s="1">
        <v>2023</v>
      </c>
      <c r="C481" s="1" t="s">
        <v>0</v>
      </c>
      <c r="D481" s="1">
        <v>50</v>
      </c>
      <c r="E481" s="1">
        <v>42</v>
      </c>
      <c r="F481" s="1">
        <v>8</v>
      </c>
      <c r="G481" s="1"/>
      <c r="H481" s="1"/>
      <c r="I481" s="1"/>
      <c r="J481" s="1"/>
    </row>
    <row r="482" spans="1:10" x14ac:dyDescent="0.3">
      <c r="A482">
        <v>55</v>
      </c>
      <c r="B482" s="1">
        <v>2024</v>
      </c>
      <c r="C482" s="1" t="s">
        <v>0</v>
      </c>
      <c r="D482" s="1">
        <v>34</v>
      </c>
      <c r="E482" s="1">
        <v>31</v>
      </c>
      <c r="F482" s="1">
        <v>3</v>
      </c>
      <c r="G482" s="1"/>
      <c r="H482" s="1"/>
      <c r="I482" s="1"/>
      <c r="J482" s="1"/>
    </row>
    <row r="483" spans="1:10" x14ac:dyDescent="0.3">
      <c r="A483" s="3">
        <v>60</v>
      </c>
      <c r="B483" s="1">
        <v>1990</v>
      </c>
      <c r="C483" s="1" t="s">
        <v>0</v>
      </c>
      <c r="D483" s="1">
        <v>30</v>
      </c>
      <c r="E483" s="1">
        <v>27</v>
      </c>
      <c r="F483" s="1">
        <v>3</v>
      </c>
      <c r="G483" s="1"/>
      <c r="H483" s="1"/>
      <c r="I483" s="1"/>
      <c r="J483" s="1"/>
    </row>
    <row r="484" spans="1:10" x14ac:dyDescent="0.3">
      <c r="A484">
        <v>60</v>
      </c>
      <c r="B484" s="1">
        <v>1991</v>
      </c>
      <c r="C484" s="1" t="s">
        <v>0</v>
      </c>
      <c r="D484" s="1">
        <v>23</v>
      </c>
      <c r="E484" s="1">
        <v>22</v>
      </c>
      <c r="F484" s="1">
        <v>1</v>
      </c>
      <c r="G484" s="1"/>
      <c r="H484" s="1"/>
      <c r="I484" s="1"/>
      <c r="J484" s="1"/>
    </row>
    <row r="485" spans="1:10" x14ac:dyDescent="0.3">
      <c r="A485">
        <v>60</v>
      </c>
      <c r="B485" s="1">
        <v>1992</v>
      </c>
      <c r="C485" s="1" t="s">
        <v>0</v>
      </c>
      <c r="D485" s="1">
        <v>24</v>
      </c>
      <c r="E485" s="1">
        <v>22</v>
      </c>
      <c r="F485" s="1">
        <v>2</v>
      </c>
      <c r="G485" s="1"/>
      <c r="H485" s="1"/>
      <c r="I485" s="1"/>
      <c r="J485" s="1"/>
    </row>
    <row r="486" spans="1:10" x14ac:dyDescent="0.3">
      <c r="A486">
        <v>60</v>
      </c>
      <c r="B486" s="1">
        <v>1993</v>
      </c>
      <c r="C486" s="1" t="s">
        <v>0</v>
      </c>
      <c r="D486" s="1">
        <v>15</v>
      </c>
      <c r="E486" s="1">
        <v>13</v>
      </c>
      <c r="F486" s="1">
        <v>2</v>
      </c>
      <c r="G486" s="1"/>
      <c r="H486" s="1"/>
      <c r="I486" s="1"/>
      <c r="J486" s="1"/>
    </row>
    <row r="487" spans="1:10" x14ac:dyDescent="0.3">
      <c r="A487">
        <v>60</v>
      </c>
      <c r="B487" s="1">
        <v>1994</v>
      </c>
      <c r="C487" s="1" t="s">
        <v>0</v>
      </c>
      <c r="D487" s="1">
        <v>27</v>
      </c>
      <c r="E487" s="1">
        <v>27</v>
      </c>
      <c r="F487" s="1"/>
      <c r="G487" s="1"/>
      <c r="H487" s="1"/>
      <c r="I487" s="1"/>
      <c r="J487" s="1"/>
    </row>
    <row r="488" spans="1:10" x14ac:dyDescent="0.3">
      <c r="A488">
        <v>60</v>
      </c>
      <c r="B488" s="1">
        <v>1995</v>
      </c>
      <c r="C488" s="1" t="s">
        <v>0</v>
      </c>
      <c r="D488" s="1">
        <v>17</v>
      </c>
      <c r="E488" s="1">
        <v>17</v>
      </c>
      <c r="F488" s="1"/>
      <c r="G488" s="1"/>
      <c r="H488" s="1"/>
      <c r="I488" s="1"/>
      <c r="J488" s="1"/>
    </row>
    <row r="489" spans="1:10" x14ac:dyDescent="0.3">
      <c r="A489">
        <v>60</v>
      </c>
      <c r="B489" s="1">
        <v>1996</v>
      </c>
      <c r="C489" s="1" t="s">
        <v>0</v>
      </c>
      <c r="D489" s="1">
        <v>14</v>
      </c>
      <c r="E489" s="1">
        <v>14</v>
      </c>
      <c r="F489" s="1"/>
      <c r="G489" s="1"/>
      <c r="H489" s="1"/>
      <c r="I489" s="1"/>
      <c r="J489" s="1"/>
    </row>
    <row r="490" spans="1:10" x14ac:dyDescent="0.3">
      <c r="A490">
        <v>60</v>
      </c>
      <c r="B490" s="1">
        <v>1997</v>
      </c>
      <c r="C490" s="1" t="s">
        <v>0</v>
      </c>
      <c r="D490" s="1">
        <v>27</v>
      </c>
      <c r="E490" s="1">
        <v>23</v>
      </c>
      <c r="F490" s="1">
        <v>4</v>
      </c>
      <c r="G490" s="1"/>
      <c r="H490" s="1"/>
      <c r="I490" s="1"/>
      <c r="J490" s="1"/>
    </row>
    <row r="491" spans="1:10" x14ac:dyDescent="0.3">
      <c r="A491">
        <v>60</v>
      </c>
      <c r="B491" s="1">
        <v>1998</v>
      </c>
      <c r="C491" s="1" t="s">
        <v>0</v>
      </c>
      <c r="D491" s="1">
        <v>12</v>
      </c>
      <c r="E491" s="1">
        <v>11</v>
      </c>
      <c r="F491" s="1">
        <v>1</v>
      </c>
      <c r="G491" s="1"/>
      <c r="H491" s="1"/>
      <c r="I491" s="1"/>
      <c r="J491" s="1"/>
    </row>
    <row r="492" spans="1:10" x14ac:dyDescent="0.3">
      <c r="A492">
        <v>60</v>
      </c>
      <c r="B492" s="1">
        <v>1999</v>
      </c>
      <c r="C492" s="1" t="s">
        <v>0</v>
      </c>
      <c r="D492" s="1">
        <v>15</v>
      </c>
      <c r="E492" s="1">
        <v>15</v>
      </c>
      <c r="F492" s="1"/>
      <c r="G492" s="1"/>
      <c r="H492" s="1"/>
      <c r="I492" s="1"/>
      <c r="J492" s="1"/>
    </row>
    <row r="493" spans="1:10" x14ac:dyDescent="0.3">
      <c r="A493">
        <v>60</v>
      </c>
      <c r="B493" s="1">
        <v>2000</v>
      </c>
      <c r="C493" s="1" t="s">
        <v>0</v>
      </c>
      <c r="D493" s="1">
        <v>9</v>
      </c>
      <c r="E493" s="1">
        <v>8</v>
      </c>
      <c r="F493" s="1">
        <v>1</v>
      </c>
      <c r="G493" s="1"/>
      <c r="H493" s="1"/>
      <c r="I493" s="1"/>
      <c r="J493" s="1"/>
    </row>
    <row r="494" spans="1:10" x14ac:dyDescent="0.3">
      <c r="A494">
        <v>60</v>
      </c>
      <c r="B494" s="1">
        <v>2001</v>
      </c>
      <c r="C494" s="1" t="s">
        <v>0</v>
      </c>
      <c r="D494" s="1">
        <v>16</v>
      </c>
      <c r="E494" s="1">
        <v>14</v>
      </c>
      <c r="F494" s="1">
        <v>2</v>
      </c>
      <c r="G494" s="1"/>
      <c r="H494" s="1"/>
      <c r="I494" s="1"/>
      <c r="J494" s="1"/>
    </row>
    <row r="495" spans="1:10" x14ac:dyDescent="0.3">
      <c r="A495">
        <v>60</v>
      </c>
      <c r="B495" s="1">
        <v>2002</v>
      </c>
      <c r="C495" s="1" t="s">
        <v>0</v>
      </c>
      <c r="D495" s="1">
        <v>15</v>
      </c>
      <c r="E495" s="1">
        <v>12</v>
      </c>
      <c r="F495" s="1">
        <v>3</v>
      </c>
      <c r="G495" s="1"/>
      <c r="H495" s="1"/>
      <c r="I495" s="1"/>
      <c r="J495" s="1"/>
    </row>
    <row r="496" spans="1:10" x14ac:dyDescent="0.3">
      <c r="A496">
        <v>60</v>
      </c>
      <c r="B496" s="1">
        <v>2003</v>
      </c>
      <c r="C496" s="1" t="s">
        <v>0</v>
      </c>
      <c r="D496" s="1">
        <v>17</v>
      </c>
      <c r="E496" s="1">
        <v>16</v>
      </c>
      <c r="F496" s="1">
        <v>1</v>
      </c>
      <c r="G496" s="1"/>
      <c r="H496" s="1"/>
      <c r="I496" s="1"/>
      <c r="J496" s="1"/>
    </row>
    <row r="497" spans="1:10" x14ac:dyDescent="0.3">
      <c r="A497">
        <v>60</v>
      </c>
      <c r="B497" s="1">
        <v>2004</v>
      </c>
      <c r="C497" s="1" t="s">
        <v>0</v>
      </c>
      <c r="D497" s="1">
        <v>19</v>
      </c>
      <c r="E497" s="1">
        <v>17</v>
      </c>
      <c r="F497" s="1">
        <v>2</v>
      </c>
      <c r="G497" s="1"/>
      <c r="H497" s="1"/>
      <c r="I497" s="1"/>
      <c r="J497" s="1"/>
    </row>
    <row r="498" spans="1:10" x14ac:dyDescent="0.3">
      <c r="A498">
        <v>60</v>
      </c>
      <c r="B498" s="1">
        <v>2005</v>
      </c>
      <c r="C498" s="1" t="s">
        <v>0</v>
      </c>
      <c r="D498" s="1">
        <v>14</v>
      </c>
      <c r="E498" s="1">
        <v>12</v>
      </c>
      <c r="F498" s="1">
        <v>2</v>
      </c>
      <c r="G498" s="1"/>
      <c r="H498" s="1"/>
      <c r="I498" s="1"/>
      <c r="J498" s="1"/>
    </row>
    <row r="499" spans="1:10" x14ac:dyDescent="0.3">
      <c r="A499">
        <v>60</v>
      </c>
      <c r="B499" s="1">
        <v>2006</v>
      </c>
      <c r="C499" s="1" t="s">
        <v>0</v>
      </c>
      <c r="D499" s="1">
        <v>17</v>
      </c>
      <c r="E499" s="1">
        <v>16</v>
      </c>
      <c r="F499" s="1">
        <v>1</v>
      </c>
      <c r="G499" s="1"/>
      <c r="H499" s="1"/>
      <c r="I499" s="1"/>
      <c r="J499" s="1"/>
    </row>
    <row r="500" spans="1:10" x14ac:dyDescent="0.3">
      <c r="A500">
        <v>60</v>
      </c>
      <c r="B500" s="1">
        <v>2007</v>
      </c>
      <c r="C500" s="1" t="s">
        <v>0</v>
      </c>
      <c r="D500" s="1">
        <v>17</v>
      </c>
      <c r="E500" s="1">
        <v>14</v>
      </c>
      <c r="F500" s="1">
        <v>3</v>
      </c>
      <c r="G500" s="1"/>
      <c r="H500" s="1"/>
      <c r="I500" s="1"/>
      <c r="J500" s="1"/>
    </row>
    <row r="501" spans="1:10" x14ac:dyDescent="0.3">
      <c r="A501">
        <v>60</v>
      </c>
      <c r="B501" s="1">
        <v>2008</v>
      </c>
      <c r="C501" s="1" t="s">
        <v>0</v>
      </c>
      <c r="D501" s="1">
        <v>18</v>
      </c>
      <c r="E501" s="1">
        <v>14</v>
      </c>
      <c r="F501" s="1">
        <v>4</v>
      </c>
      <c r="G501" s="1"/>
      <c r="H501" s="1"/>
      <c r="I501" s="1"/>
      <c r="J501" s="1"/>
    </row>
    <row r="502" spans="1:10" x14ac:dyDescent="0.3">
      <c r="A502">
        <v>60</v>
      </c>
      <c r="B502" s="1">
        <v>2009</v>
      </c>
      <c r="C502" s="1" t="s">
        <v>0</v>
      </c>
      <c r="D502" s="1">
        <v>25</v>
      </c>
      <c r="E502" s="1">
        <v>24</v>
      </c>
      <c r="F502" s="1">
        <v>1</v>
      </c>
      <c r="G502" s="1"/>
      <c r="H502" s="1"/>
      <c r="I502" s="1"/>
      <c r="J502" s="1"/>
    </row>
    <row r="503" spans="1:10" x14ac:dyDescent="0.3">
      <c r="A503">
        <v>60</v>
      </c>
      <c r="B503" s="1">
        <v>2010</v>
      </c>
      <c r="C503" s="1" t="s">
        <v>0</v>
      </c>
      <c r="D503" s="1">
        <v>16</v>
      </c>
      <c r="E503" s="1">
        <v>14</v>
      </c>
      <c r="F503" s="1">
        <v>2</v>
      </c>
      <c r="G503" s="1"/>
      <c r="H503" s="1"/>
      <c r="I503" s="1"/>
      <c r="J503" s="1"/>
    </row>
    <row r="504" spans="1:10" x14ac:dyDescent="0.3">
      <c r="A504">
        <v>60</v>
      </c>
      <c r="B504" s="1">
        <v>2011</v>
      </c>
      <c r="C504" s="1" t="s">
        <v>0</v>
      </c>
      <c r="D504" s="1">
        <v>25</v>
      </c>
      <c r="E504" s="1">
        <v>18</v>
      </c>
      <c r="F504" s="1">
        <v>7</v>
      </c>
      <c r="G504" s="1"/>
      <c r="H504" s="1"/>
      <c r="I504" s="1"/>
      <c r="J504" s="1"/>
    </row>
    <row r="505" spans="1:10" x14ac:dyDescent="0.3">
      <c r="A505">
        <v>60</v>
      </c>
      <c r="B505" s="1">
        <v>2012</v>
      </c>
      <c r="C505" s="1" t="s">
        <v>0</v>
      </c>
      <c r="D505" s="1">
        <v>25</v>
      </c>
      <c r="E505" s="1">
        <v>24</v>
      </c>
      <c r="F505" s="1">
        <v>1</v>
      </c>
      <c r="G505" s="1"/>
      <c r="H505" s="1"/>
      <c r="I505" s="1"/>
      <c r="J505" s="1"/>
    </row>
    <row r="506" spans="1:10" x14ac:dyDescent="0.3">
      <c r="A506">
        <v>60</v>
      </c>
      <c r="B506" s="1">
        <v>2013</v>
      </c>
      <c r="C506" s="1" t="s">
        <v>0</v>
      </c>
      <c r="D506" s="1">
        <v>23</v>
      </c>
      <c r="E506" s="1">
        <v>23</v>
      </c>
      <c r="F506" s="1"/>
      <c r="G506" s="1"/>
      <c r="H506" s="1"/>
      <c r="I506" s="1"/>
      <c r="J506" s="1"/>
    </row>
    <row r="507" spans="1:10" x14ac:dyDescent="0.3">
      <c r="A507">
        <v>60</v>
      </c>
      <c r="B507" s="1">
        <v>2014</v>
      </c>
      <c r="C507" s="1" t="s">
        <v>0</v>
      </c>
      <c r="D507" s="1">
        <v>26</v>
      </c>
      <c r="E507" s="1">
        <v>24</v>
      </c>
      <c r="F507" s="1">
        <v>2</v>
      </c>
      <c r="G507" s="1"/>
      <c r="H507" s="1"/>
      <c r="I507" s="1"/>
      <c r="J507" s="1"/>
    </row>
    <row r="508" spans="1:10" x14ac:dyDescent="0.3">
      <c r="A508">
        <v>60</v>
      </c>
      <c r="B508" s="1">
        <v>2015</v>
      </c>
      <c r="C508" s="1" t="s">
        <v>0</v>
      </c>
      <c r="D508" s="1">
        <v>32</v>
      </c>
      <c r="E508" s="1">
        <v>31</v>
      </c>
      <c r="F508" s="1">
        <v>1</v>
      </c>
      <c r="G508" s="1"/>
      <c r="H508" s="1"/>
      <c r="I508" s="1"/>
      <c r="J508" s="1"/>
    </row>
    <row r="509" spans="1:10" x14ac:dyDescent="0.3">
      <c r="A509">
        <v>60</v>
      </c>
      <c r="B509" s="1">
        <v>2016</v>
      </c>
      <c r="C509" s="1" t="s">
        <v>0</v>
      </c>
      <c r="D509" s="1">
        <v>29</v>
      </c>
      <c r="E509" s="1">
        <v>27</v>
      </c>
      <c r="F509" s="1">
        <v>2</v>
      </c>
      <c r="G509" s="1"/>
      <c r="H509" s="1"/>
      <c r="I509" s="1"/>
      <c r="J509" s="1"/>
    </row>
    <row r="510" spans="1:10" x14ac:dyDescent="0.3">
      <c r="A510">
        <v>60</v>
      </c>
      <c r="B510" s="1">
        <v>2017</v>
      </c>
      <c r="C510" s="1" t="s">
        <v>0</v>
      </c>
      <c r="D510" s="1">
        <v>43</v>
      </c>
      <c r="E510" s="1">
        <v>37</v>
      </c>
      <c r="F510" s="1">
        <v>6</v>
      </c>
      <c r="G510" s="1"/>
      <c r="H510" s="1"/>
      <c r="I510" s="1"/>
      <c r="J510" s="1"/>
    </row>
    <row r="511" spans="1:10" x14ac:dyDescent="0.3">
      <c r="A511">
        <v>60</v>
      </c>
      <c r="B511" s="1">
        <v>2018</v>
      </c>
      <c r="C511" s="1" t="s">
        <v>0</v>
      </c>
      <c r="D511" s="1">
        <v>37</v>
      </c>
      <c r="E511" s="1">
        <v>37</v>
      </c>
      <c r="F511" s="1"/>
      <c r="G511" s="1"/>
      <c r="H511" s="1"/>
      <c r="I511" s="1"/>
      <c r="J511" s="1"/>
    </row>
    <row r="512" spans="1:10" x14ac:dyDescent="0.3">
      <c r="A512">
        <v>60</v>
      </c>
      <c r="B512" s="1">
        <v>2019</v>
      </c>
      <c r="C512" s="1" t="s">
        <v>0</v>
      </c>
      <c r="D512" s="1">
        <v>36</v>
      </c>
      <c r="E512" s="1">
        <v>32</v>
      </c>
      <c r="F512" s="1">
        <v>4</v>
      </c>
      <c r="G512" s="1"/>
      <c r="H512" s="1"/>
      <c r="I512" s="1"/>
      <c r="J512" s="1"/>
    </row>
    <row r="513" spans="1:10" x14ac:dyDescent="0.3">
      <c r="A513">
        <v>60</v>
      </c>
      <c r="B513" s="1">
        <v>2020</v>
      </c>
      <c r="C513" s="1" t="s">
        <v>0</v>
      </c>
      <c r="D513" s="1">
        <v>30</v>
      </c>
      <c r="E513" s="1">
        <v>24</v>
      </c>
      <c r="F513" s="1">
        <v>6</v>
      </c>
      <c r="G513" s="1"/>
      <c r="H513" s="1"/>
      <c r="I513" s="1"/>
      <c r="J513" s="1"/>
    </row>
    <row r="514" spans="1:10" x14ac:dyDescent="0.3">
      <c r="A514">
        <v>60</v>
      </c>
      <c r="B514" s="1">
        <v>2021</v>
      </c>
      <c r="C514" s="1" t="s">
        <v>0</v>
      </c>
      <c r="D514" s="1">
        <v>35</v>
      </c>
      <c r="E514" s="1">
        <v>31</v>
      </c>
      <c r="F514" s="1">
        <v>4</v>
      </c>
      <c r="G514" s="1"/>
      <c r="H514" s="1"/>
      <c r="I514" s="1"/>
      <c r="J514" s="1"/>
    </row>
    <row r="515" spans="1:10" x14ac:dyDescent="0.3">
      <c r="A515">
        <v>60</v>
      </c>
      <c r="B515" s="1">
        <v>2022</v>
      </c>
      <c r="C515" s="1" t="s">
        <v>0</v>
      </c>
      <c r="D515" s="1">
        <v>27</v>
      </c>
      <c r="E515" s="1">
        <v>25</v>
      </c>
      <c r="F515" s="1">
        <v>2</v>
      </c>
      <c r="G515" s="1"/>
      <c r="H515" s="1"/>
      <c r="I515" s="1"/>
      <c r="J515" s="1"/>
    </row>
    <row r="516" spans="1:10" x14ac:dyDescent="0.3">
      <c r="A516">
        <v>60</v>
      </c>
      <c r="B516" s="1">
        <v>2023</v>
      </c>
      <c r="C516" s="1" t="s">
        <v>0</v>
      </c>
      <c r="D516" s="1">
        <v>29</v>
      </c>
      <c r="E516" s="1">
        <v>24</v>
      </c>
      <c r="F516" s="1">
        <v>5</v>
      </c>
      <c r="G516" s="1"/>
      <c r="H516" s="1"/>
      <c r="I516" s="1"/>
      <c r="J516" s="1"/>
    </row>
    <row r="517" spans="1:10" x14ac:dyDescent="0.3">
      <c r="A517">
        <v>60</v>
      </c>
      <c r="B517" s="1">
        <v>2024</v>
      </c>
      <c r="C517" s="1" t="s">
        <v>0</v>
      </c>
      <c r="D517" s="1">
        <v>27</v>
      </c>
      <c r="E517" s="1">
        <v>25</v>
      </c>
      <c r="F517" s="1">
        <v>2</v>
      </c>
      <c r="G517" s="1"/>
      <c r="H517" s="1"/>
      <c r="I517" s="1"/>
      <c r="J517" s="1"/>
    </row>
    <row r="518" spans="1:10" x14ac:dyDescent="0.3">
      <c r="A518" s="3">
        <v>65</v>
      </c>
      <c r="B518" s="1">
        <v>1990</v>
      </c>
      <c r="C518" s="1" t="s">
        <v>0</v>
      </c>
      <c r="D518" s="1">
        <v>13</v>
      </c>
      <c r="E518" s="1">
        <v>12</v>
      </c>
      <c r="F518" s="1">
        <v>1</v>
      </c>
      <c r="G518" s="1"/>
      <c r="H518" s="1"/>
      <c r="I518" s="1"/>
      <c r="J518" s="1"/>
    </row>
    <row r="519" spans="1:10" x14ac:dyDescent="0.3">
      <c r="A519">
        <v>65</v>
      </c>
      <c r="B519" s="1">
        <v>1991</v>
      </c>
      <c r="C519" s="1" t="s">
        <v>0</v>
      </c>
      <c r="D519" s="1">
        <v>17</v>
      </c>
      <c r="E519" s="1">
        <v>16</v>
      </c>
      <c r="F519" s="1">
        <v>1</v>
      </c>
      <c r="G519" s="1"/>
      <c r="H519" s="1"/>
      <c r="I519" s="1"/>
      <c r="J519" s="1"/>
    </row>
    <row r="520" spans="1:10" x14ac:dyDescent="0.3">
      <c r="A520">
        <v>65</v>
      </c>
      <c r="B520" s="1">
        <v>1992</v>
      </c>
      <c r="C520" s="1" t="s">
        <v>0</v>
      </c>
      <c r="D520" s="1">
        <v>11</v>
      </c>
      <c r="E520" s="1">
        <v>10</v>
      </c>
      <c r="F520" s="1">
        <v>1</v>
      </c>
      <c r="G520" s="1"/>
      <c r="H520" s="1"/>
      <c r="I520" s="1"/>
      <c r="J520" s="1"/>
    </row>
    <row r="521" spans="1:10" x14ac:dyDescent="0.3">
      <c r="A521">
        <v>65</v>
      </c>
      <c r="B521" s="1">
        <v>1993</v>
      </c>
      <c r="C521" s="1" t="s">
        <v>0</v>
      </c>
      <c r="D521" s="1">
        <v>15</v>
      </c>
      <c r="E521" s="1">
        <v>15</v>
      </c>
      <c r="F521" s="1"/>
      <c r="G521" s="1"/>
      <c r="H521" s="1"/>
      <c r="I521" s="1"/>
      <c r="J521" s="1"/>
    </row>
    <row r="522" spans="1:10" x14ac:dyDescent="0.3">
      <c r="A522">
        <v>65</v>
      </c>
      <c r="B522" s="1">
        <v>1994</v>
      </c>
      <c r="C522" s="1" t="s">
        <v>0</v>
      </c>
      <c r="D522" s="1">
        <v>11</v>
      </c>
      <c r="E522" s="1">
        <v>9</v>
      </c>
      <c r="F522" s="1">
        <v>2</v>
      </c>
      <c r="G522" s="1"/>
      <c r="H522" s="1"/>
      <c r="I522" s="1"/>
      <c r="J522" s="1"/>
    </row>
    <row r="523" spans="1:10" x14ac:dyDescent="0.3">
      <c r="A523">
        <v>65</v>
      </c>
      <c r="B523" s="1">
        <v>1995</v>
      </c>
      <c r="C523" s="1" t="s">
        <v>0</v>
      </c>
      <c r="D523" s="1">
        <v>9</v>
      </c>
      <c r="E523" s="1">
        <v>8</v>
      </c>
      <c r="F523" s="1">
        <v>1</v>
      </c>
      <c r="G523" s="1"/>
      <c r="H523" s="1"/>
      <c r="I523" s="1"/>
      <c r="J523" s="1"/>
    </row>
    <row r="524" spans="1:10" x14ac:dyDescent="0.3">
      <c r="A524">
        <v>65</v>
      </c>
      <c r="B524" s="1">
        <v>1996</v>
      </c>
      <c r="C524" s="1" t="s">
        <v>0</v>
      </c>
      <c r="D524" s="1">
        <v>12</v>
      </c>
      <c r="E524" s="1">
        <v>11</v>
      </c>
      <c r="F524" s="1">
        <v>1</v>
      </c>
      <c r="G524" s="1"/>
      <c r="H524" s="1"/>
      <c r="I524" s="1"/>
      <c r="J524" s="1"/>
    </row>
    <row r="525" spans="1:10" x14ac:dyDescent="0.3">
      <c r="A525">
        <v>65</v>
      </c>
      <c r="B525" s="1">
        <v>1997</v>
      </c>
      <c r="C525" s="1" t="s">
        <v>0</v>
      </c>
      <c r="D525" s="1">
        <v>10</v>
      </c>
      <c r="E525" s="1">
        <v>8</v>
      </c>
      <c r="F525" s="1">
        <v>2</v>
      </c>
      <c r="G525" s="1"/>
      <c r="H525" s="1"/>
      <c r="I525" s="1"/>
      <c r="J525" s="1"/>
    </row>
    <row r="526" spans="1:10" x14ac:dyDescent="0.3">
      <c r="A526">
        <v>65</v>
      </c>
      <c r="B526" s="1">
        <v>1998</v>
      </c>
      <c r="C526" s="1" t="s">
        <v>0</v>
      </c>
      <c r="D526" s="1">
        <v>17</v>
      </c>
      <c r="E526" s="1">
        <v>15</v>
      </c>
      <c r="F526" s="1">
        <v>2</v>
      </c>
      <c r="G526" s="1"/>
      <c r="H526" s="1"/>
      <c r="I526" s="1"/>
      <c r="J526" s="1"/>
    </row>
    <row r="527" spans="1:10" x14ac:dyDescent="0.3">
      <c r="A527">
        <v>65</v>
      </c>
      <c r="B527" s="1">
        <v>1999</v>
      </c>
      <c r="C527" s="1" t="s">
        <v>0</v>
      </c>
      <c r="D527" s="1">
        <v>17</v>
      </c>
      <c r="E527" s="1">
        <v>14</v>
      </c>
      <c r="F527" s="1">
        <v>3</v>
      </c>
      <c r="G527" s="1"/>
      <c r="H527" s="1"/>
      <c r="I527" s="1"/>
      <c r="J527" s="1"/>
    </row>
    <row r="528" spans="1:10" x14ac:dyDescent="0.3">
      <c r="A528">
        <v>65</v>
      </c>
      <c r="B528" s="1">
        <v>2000</v>
      </c>
      <c r="C528" s="1" t="s">
        <v>0</v>
      </c>
      <c r="D528" s="1">
        <v>8</v>
      </c>
      <c r="E528" s="1">
        <v>6</v>
      </c>
      <c r="F528" s="1">
        <v>2</v>
      </c>
      <c r="G528" s="1"/>
      <c r="H528" s="1"/>
      <c r="I528" s="1"/>
      <c r="J528" s="1"/>
    </row>
    <row r="529" spans="1:10" x14ac:dyDescent="0.3">
      <c r="A529">
        <v>65</v>
      </c>
      <c r="B529" s="1">
        <v>2001</v>
      </c>
      <c r="C529" s="1" t="s">
        <v>0</v>
      </c>
      <c r="D529" s="1">
        <v>13</v>
      </c>
      <c r="E529" s="1">
        <v>11</v>
      </c>
      <c r="F529" s="1">
        <v>2</v>
      </c>
      <c r="G529" s="1"/>
      <c r="H529" s="1"/>
      <c r="I529" s="1"/>
      <c r="J529" s="1"/>
    </row>
    <row r="530" spans="1:10" x14ac:dyDescent="0.3">
      <c r="A530">
        <v>65</v>
      </c>
      <c r="B530" s="1">
        <v>2002</v>
      </c>
      <c r="C530" s="1" t="s">
        <v>0</v>
      </c>
      <c r="D530" s="1">
        <v>13</v>
      </c>
      <c r="E530" s="1">
        <v>11</v>
      </c>
      <c r="F530" s="1">
        <v>2</v>
      </c>
      <c r="G530" s="1"/>
      <c r="H530" s="1"/>
      <c r="I530" s="1"/>
      <c r="J530" s="1"/>
    </row>
    <row r="531" spans="1:10" x14ac:dyDescent="0.3">
      <c r="A531">
        <v>65</v>
      </c>
      <c r="B531" s="1">
        <v>2003</v>
      </c>
      <c r="C531" s="1" t="s">
        <v>0</v>
      </c>
      <c r="D531" s="1">
        <v>12</v>
      </c>
      <c r="E531" s="1">
        <v>11</v>
      </c>
      <c r="F531" s="1">
        <v>1</v>
      </c>
      <c r="G531" s="1"/>
      <c r="H531" s="1"/>
      <c r="I531" s="1"/>
      <c r="J531" s="1"/>
    </row>
    <row r="532" spans="1:10" x14ac:dyDescent="0.3">
      <c r="A532">
        <v>65</v>
      </c>
      <c r="B532" s="1">
        <v>2004</v>
      </c>
      <c r="C532" s="1" t="s">
        <v>0</v>
      </c>
      <c r="D532" s="1">
        <v>6</v>
      </c>
      <c r="E532" s="1">
        <v>5</v>
      </c>
      <c r="F532" s="1">
        <v>1</v>
      </c>
      <c r="G532" s="1"/>
      <c r="H532" s="1"/>
      <c r="I532" s="1"/>
      <c r="J532" s="1"/>
    </row>
    <row r="533" spans="1:10" x14ac:dyDescent="0.3">
      <c r="A533">
        <v>65</v>
      </c>
      <c r="B533" s="1">
        <v>2005</v>
      </c>
      <c r="C533" s="1" t="s">
        <v>0</v>
      </c>
      <c r="D533" s="1">
        <v>11</v>
      </c>
      <c r="E533" s="1">
        <v>10</v>
      </c>
      <c r="F533" s="1">
        <v>1</v>
      </c>
      <c r="G533" s="1"/>
      <c r="H533" s="1"/>
      <c r="I533" s="1"/>
      <c r="J533" s="1"/>
    </row>
    <row r="534" spans="1:10" x14ac:dyDescent="0.3">
      <c r="A534">
        <v>65</v>
      </c>
      <c r="B534" s="1">
        <v>2006</v>
      </c>
      <c r="C534" s="1" t="s">
        <v>0</v>
      </c>
      <c r="D534" s="1">
        <v>9</v>
      </c>
      <c r="E534" s="1">
        <v>8</v>
      </c>
      <c r="F534" s="1">
        <v>1</v>
      </c>
      <c r="G534" s="1"/>
      <c r="H534" s="1"/>
      <c r="I534" s="1"/>
      <c r="J534" s="1"/>
    </row>
    <row r="535" spans="1:10" x14ac:dyDescent="0.3">
      <c r="A535">
        <v>65</v>
      </c>
      <c r="B535" s="1">
        <v>2007</v>
      </c>
      <c r="C535" s="1" t="s">
        <v>0</v>
      </c>
      <c r="D535" s="1">
        <v>13</v>
      </c>
      <c r="E535" s="1">
        <v>12</v>
      </c>
      <c r="F535" s="1">
        <v>1</v>
      </c>
      <c r="G535" s="1"/>
      <c r="H535" s="1"/>
      <c r="I535" s="1"/>
      <c r="J535" s="1"/>
    </row>
    <row r="536" spans="1:10" x14ac:dyDescent="0.3">
      <c r="A536">
        <v>65</v>
      </c>
      <c r="B536" s="1">
        <v>2008</v>
      </c>
      <c r="C536" s="1" t="s">
        <v>0</v>
      </c>
      <c r="D536" s="1">
        <v>9</v>
      </c>
      <c r="E536" s="1">
        <v>8</v>
      </c>
      <c r="F536" s="1">
        <v>1</v>
      </c>
      <c r="G536" s="1"/>
      <c r="H536" s="1"/>
      <c r="I536" s="1"/>
      <c r="J536" s="1"/>
    </row>
    <row r="537" spans="1:10" x14ac:dyDescent="0.3">
      <c r="A537">
        <v>65</v>
      </c>
      <c r="B537" s="1">
        <v>2009</v>
      </c>
      <c r="C537" s="1" t="s">
        <v>0</v>
      </c>
      <c r="D537" s="1">
        <v>8</v>
      </c>
      <c r="E537" s="1">
        <v>6</v>
      </c>
      <c r="F537" s="1">
        <v>2</v>
      </c>
      <c r="G537" s="1"/>
      <c r="H537" s="1"/>
      <c r="I537" s="1"/>
      <c r="J537" s="1"/>
    </row>
    <row r="538" spans="1:10" x14ac:dyDescent="0.3">
      <c r="A538">
        <v>65</v>
      </c>
      <c r="B538" s="1">
        <v>2010</v>
      </c>
      <c r="C538" s="1" t="s">
        <v>0</v>
      </c>
      <c r="D538" s="1">
        <v>10</v>
      </c>
      <c r="E538" s="1">
        <v>7</v>
      </c>
      <c r="F538" s="1">
        <v>3</v>
      </c>
      <c r="G538" s="1"/>
      <c r="H538" s="1"/>
      <c r="I538" s="1"/>
      <c r="J538" s="1"/>
    </row>
    <row r="539" spans="1:10" x14ac:dyDescent="0.3">
      <c r="A539">
        <v>65</v>
      </c>
      <c r="B539" s="1">
        <v>2011</v>
      </c>
      <c r="C539" s="1" t="s">
        <v>0</v>
      </c>
      <c r="D539" s="1">
        <v>26</v>
      </c>
      <c r="E539" s="1">
        <v>19</v>
      </c>
      <c r="F539" s="1">
        <v>7</v>
      </c>
      <c r="G539" s="1"/>
      <c r="H539" s="1"/>
      <c r="I539" s="1"/>
      <c r="J539" s="1"/>
    </row>
    <row r="540" spans="1:10" x14ac:dyDescent="0.3">
      <c r="A540">
        <v>65</v>
      </c>
      <c r="B540" s="1">
        <v>2012</v>
      </c>
      <c r="C540" s="1" t="s">
        <v>0</v>
      </c>
      <c r="D540" s="1">
        <v>19</v>
      </c>
      <c r="E540" s="1">
        <v>17</v>
      </c>
      <c r="F540" s="1">
        <v>2</v>
      </c>
      <c r="G540" s="1"/>
      <c r="H540" s="1"/>
      <c r="I540" s="1"/>
      <c r="J540" s="1"/>
    </row>
    <row r="541" spans="1:10" x14ac:dyDescent="0.3">
      <c r="A541">
        <v>65</v>
      </c>
      <c r="B541" s="1">
        <v>2013</v>
      </c>
      <c r="C541" s="1" t="s">
        <v>0</v>
      </c>
      <c r="D541" s="1">
        <v>12</v>
      </c>
      <c r="E541" s="1">
        <v>8</v>
      </c>
      <c r="F541" s="1">
        <v>4</v>
      </c>
      <c r="G541" s="1"/>
      <c r="H541" s="1"/>
      <c r="I541" s="1"/>
      <c r="J541" s="1"/>
    </row>
    <row r="542" spans="1:10" x14ac:dyDescent="0.3">
      <c r="A542">
        <v>65</v>
      </c>
      <c r="B542" s="1">
        <v>2014</v>
      </c>
      <c r="C542" s="1" t="s">
        <v>0</v>
      </c>
      <c r="D542" s="1">
        <v>19</v>
      </c>
      <c r="E542" s="1">
        <v>17</v>
      </c>
      <c r="F542" s="1">
        <v>2</v>
      </c>
      <c r="G542" s="1"/>
      <c r="H542" s="1"/>
      <c r="I542" s="1"/>
      <c r="J542" s="1"/>
    </row>
    <row r="543" spans="1:10" x14ac:dyDescent="0.3">
      <c r="A543">
        <v>65</v>
      </c>
      <c r="B543" s="1">
        <v>2015</v>
      </c>
      <c r="C543" s="1" t="s">
        <v>0</v>
      </c>
      <c r="D543" s="1">
        <v>14</v>
      </c>
      <c r="E543" s="1">
        <v>14</v>
      </c>
      <c r="F543" s="1"/>
      <c r="G543" s="1"/>
      <c r="H543" s="1"/>
      <c r="I543" s="1"/>
      <c r="J543" s="1"/>
    </row>
    <row r="544" spans="1:10" x14ac:dyDescent="0.3">
      <c r="A544">
        <v>65</v>
      </c>
      <c r="B544" s="1">
        <v>2016</v>
      </c>
      <c r="C544" s="1" t="s">
        <v>0</v>
      </c>
      <c r="D544" s="1">
        <v>21</v>
      </c>
      <c r="E544" s="1">
        <v>20</v>
      </c>
      <c r="F544" s="1">
        <v>1</v>
      </c>
      <c r="G544" s="1"/>
      <c r="H544" s="1"/>
      <c r="I544" s="1"/>
      <c r="J544" s="1"/>
    </row>
    <row r="545" spans="1:10" x14ac:dyDescent="0.3">
      <c r="A545">
        <v>65</v>
      </c>
      <c r="B545" s="1">
        <v>2017</v>
      </c>
      <c r="C545" s="1" t="s">
        <v>0</v>
      </c>
      <c r="D545" s="1">
        <v>29</v>
      </c>
      <c r="E545" s="1">
        <v>26</v>
      </c>
      <c r="F545" s="1">
        <v>3</v>
      </c>
      <c r="G545" s="1"/>
      <c r="H545" s="1"/>
      <c r="I545" s="1"/>
      <c r="J545" s="1"/>
    </row>
    <row r="546" spans="1:10" x14ac:dyDescent="0.3">
      <c r="A546">
        <v>65</v>
      </c>
      <c r="B546" s="1">
        <v>2018</v>
      </c>
      <c r="C546" s="1" t="s">
        <v>0</v>
      </c>
      <c r="D546" s="1">
        <v>24</v>
      </c>
      <c r="E546" s="1">
        <v>19</v>
      </c>
      <c r="F546" s="1">
        <v>5</v>
      </c>
      <c r="G546" s="1"/>
      <c r="H546" s="1"/>
      <c r="I546" s="1"/>
      <c r="J546" s="1"/>
    </row>
    <row r="547" spans="1:10" x14ac:dyDescent="0.3">
      <c r="A547">
        <v>65</v>
      </c>
      <c r="B547" s="1">
        <v>2019</v>
      </c>
      <c r="C547" s="1" t="s">
        <v>0</v>
      </c>
      <c r="D547" s="1">
        <v>30</v>
      </c>
      <c r="E547" s="1">
        <v>24</v>
      </c>
      <c r="F547" s="1">
        <v>6</v>
      </c>
      <c r="G547" s="1"/>
      <c r="H547" s="1"/>
      <c r="I547" s="1"/>
      <c r="J547" s="1"/>
    </row>
    <row r="548" spans="1:10" x14ac:dyDescent="0.3">
      <c r="A548">
        <v>65</v>
      </c>
      <c r="B548" s="1">
        <v>2020</v>
      </c>
      <c r="C548" s="1" t="s">
        <v>0</v>
      </c>
      <c r="D548" s="1">
        <v>28</v>
      </c>
      <c r="E548" s="1">
        <v>22</v>
      </c>
      <c r="F548" s="1">
        <v>6</v>
      </c>
      <c r="G548" s="1"/>
      <c r="H548" s="1"/>
      <c r="I548" s="1"/>
      <c r="J548" s="1"/>
    </row>
    <row r="549" spans="1:10" x14ac:dyDescent="0.3">
      <c r="A549">
        <v>65</v>
      </c>
      <c r="B549" s="1">
        <v>2021</v>
      </c>
      <c r="C549" s="1" t="s">
        <v>0</v>
      </c>
      <c r="D549" s="1">
        <v>24</v>
      </c>
      <c r="E549" s="1">
        <v>19</v>
      </c>
      <c r="F549" s="1">
        <v>5</v>
      </c>
      <c r="G549" s="1"/>
      <c r="H549" s="1"/>
      <c r="I549" s="1"/>
      <c r="J549" s="1"/>
    </row>
    <row r="550" spans="1:10" x14ac:dyDescent="0.3">
      <c r="A550">
        <v>65</v>
      </c>
      <c r="B550" s="1">
        <v>2022</v>
      </c>
      <c r="C550" s="1" t="s">
        <v>0</v>
      </c>
      <c r="D550" s="1">
        <v>14</v>
      </c>
      <c r="E550" s="1">
        <v>9</v>
      </c>
      <c r="F550" s="1">
        <v>5</v>
      </c>
      <c r="G550" s="1"/>
      <c r="H550" s="1"/>
      <c r="I550" s="1"/>
      <c r="J550" s="1"/>
    </row>
    <row r="551" spans="1:10" x14ac:dyDescent="0.3">
      <c r="A551">
        <v>65</v>
      </c>
      <c r="B551" s="1">
        <v>2023</v>
      </c>
      <c r="C551" s="1" t="s">
        <v>0</v>
      </c>
      <c r="D551" s="1">
        <v>27</v>
      </c>
      <c r="E551" s="1">
        <v>22</v>
      </c>
      <c r="F551" s="1">
        <v>5</v>
      </c>
      <c r="G551" s="1"/>
      <c r="H551" s="1"/>
      <c r="I551" s="1"/>
      <c r="J551" s="1"/>
    </row>
    <row r="552" spans="1:10" x14ac:dyDescent="0.3">
      <c r="A552">
        <v>65</v>
      </c>
      <c r="B552" s="1">
        <v>2024</v>
      </c>
      <c r="C552" s="1" t="s">
        <v>0</v>
      </c>
      <c r="D552" s="1">
        <v>16</v>
      </c>
      <c r="E552" s="1">
        <v>11</v>
      </c>
      <c r="F552" s="1">
        <v>5</v>
      </c>
      <c r="G552" s="1"/>
      <c r="H552" s="1"/>
      <c r="I552" s="1"/>
      <c r="J552" s="1"/>
    </row>
    <row r="553" spans="1:10" x14ac:dyDescent="0.3">
      <c r="A553" s="3">
        <v>70</v>
      </c>
      <c r="B553" s="1">
        <v>1990</v>
      </c>
      <c r="C553" s="1" t="s">
        <v>0</v>
      </c>
      <c r="D553" s="1">
        <v>10</v>
      </c>
      <c r="E553" s="1">
        <v>8</v>
      </c>
      <c r="F553" s="1">
        <v>2</v>
      </c>
      <c r="G553" s="1"/>
      <c r="H553" s="1"/>
      <c r="I553" s="1"/>
      <c r="J553" s="1"/>
    </row>
    <row r="554" spans="1:10" x14ac:dyDescent="0.3">
      <c r="A554">
        <v>70</v>
      </c>
      <c r="B554" s="1">
        <v>1991</v>
      </c>
      <c r="C554" s="1" t="s">
        <v>0</v>
      </c>
      <c r="D554" s="1">
        <v>12</v>
      </c>
      <c r="E554" s="1">
        <v>10</v>
      </c>
      <c r="F554" s="1">
        <v>2</v>
      </c>
      <c r="G554" s="1"/>
      <c r="H554" s="1"/>
      <c r="I554" s="1"/>
      <c r="J554" s="1"/>
    </row>
    <row r="555" spans="1:10" x14ac:dyDescent="0.3">
      <c r="A555">
        <v>70</v>
      </c>
      <c r="B555" s="1">
        <v>1992</v>
      </c>
      <c r="C555" s="1" t="s">
        <v>0</v>
      </c>
      <c r="D555" s="1">
        <v>15</v>
      </c>
      <c r="E555" s="1">
        <v>13</v>
      </c>
      <c r="F555" s="1">
        <v>2</v>
      </c>
      <c r="G555" s="1"/>
      <c r="H555" s="1"/>
      <c r="I555" s="1"/>
      <c r="J555" s="1"/>
    </row>
    <row r="556" spans="1:10" x14ac:dyDescent="0.3">
      <c r="A556">
        <v>70</v>
      </c>
      <c r="B556" s="1">
        <v>1993</v>
      </c>
      <c r="C556" s="1" t="s">
        <v>0</v>
      </c>
      <c r="D556" s="1">
        <v>13</v>
      </c>
      <c r="E556" s="1">
        <v>11</v>
      </c>
      <c r="F556" s="1">
        <v>2</v>
      </c>
      <c r="G556" s="1"/>
      <c r="H556" s="1"/>
      <c r="I556" s="1"/>
      <c r="J556" s="1"/>
    </row>
    <row r="557" spans="1:10" x14ac:dyDescent="0.3">
      <c r="A557">
        <v>70</v>
      </c>
      <c r="B557" s="1">
        <v>1994</v>
      </c>
      <c r="C557" s="1" t="s">
        <v>0</v>
      </c>
      <c r="D557" s="1">
        <v>6</v>
      </c>
      <c r="E557" s="1">
        <v>6</v>
      </c>
      <c r="F557" s="1"/>
      <c r="G557" s="1"/>
      <c r="H557" s="1"/>
      <c r="I557" s="1"/>
      <c r="J557" s="1"/>
    </row>
    <row r="558" spans="1:10" x14ac:dyDescent="0.3">
      <c r="A558">
        <v>70</v>
      </c>
      <c r="B558" s="1">
        <v>1995</v>
      </c>
      <c r="C558" s="1" t="s">
        <v>0</v>
      </c>
      <c r="D558" s="1">
        <v>9</v>
      </c>
      <c r="E558" s="1">
        <v>8</v>
      </c>
      <c r="F558" s="1">
        <v>1</v>
      </c>
      <c r="G558" s="1"/>
      <c r="H558" s="1"/>
      <c r="I558" s="1"/>
      <c r="J558" s="1"/>
    </row>
    <row r="559" spans="1:10" x14ac:dyDescent="0.3">
      <c r="A559">
        <v>70</v>
      </c>
      <c r="B559" s="1">
        <v>1996</v>
      </c>
      <c r="C559" s="1" t="s">
        <v>0</v>
      </c>
      <c r="D559" s="1">
        <v>9</v>
      </c>
      <c r="E559" s="1">
        <v>7</v>
      </c>
      <c r="F559" s="1">
        <v>2</v>
      </c>
      <c r="G559" s="1"/>
      <c r="H559" s="1"/>
      <c r="I559" s="1"/>
      <c r="J559" s="1"/>
    </row>
    <row r="560" spans="1:10" x14ac:dyDescent="0.3">
      <c r="A560">
        <v>70</v>
      </c>
      <c r="B560" s="1">
        <v>1997</v>
      </c>
      <c r="C560" s="1" t="s">
        <v>0</v>
      </c>
      <c r="D560" s="1">
        <v>12</v>
      </c>
      <c r="E560" s="1">
        <v>12</v>
      </c>
      <c r="F560" s="1"/>
      <c r="G560" s="1"/>
      <c r="H560" s="1"/>
      <c r="I560" s="1"/>
      <c r="J560" s="1"/>
    </row>
    <row r="561" spans="1:10" x14ac:dyDescent="0.3">
      <c r="A561">
        <v>70</v>
      </c>
      <c r="B561" s="1">
        <v>1998</v>
      </c>
      <c r="C561" s="1" t="s">
        <v>0</v>
      </c>
      <c r="D561" s="1">
        <v>14</v>
      </c>
      <c r="E561" s="1">
        <v>13</v>
      </c>
      <c r="F561" s="1">
        <v>1</v>
      </c>
      <c r="G561" s="1"/>
      <c r="H561" s="1"/>
      <c r="I561" s="1"/>
      <c r="J561" s="1"/>
    </row>
    <row r="562" spans="1:10" x14ac:dyDescent="0.3">
      <c r="A562">
        <v>70</v>
      </c>
      <c r="B562" s="1">
        <v>1999</v>
      </c>
      <c r="C562" s="1" t="s">
        <v>0</v>
      </c>
      <c r="D562" s="1">
        <v>14</v>
      </c>
      <c r="E562" s="1">
        <v>13</v>
      </c>
      <c r="F562" s="1">
        <v>1</v>
      </c>
      <c r="G562" s="1"/>
      <c r="H562" s="1"/>
      <c r="I562" s="1"/>
      <c r="J562" s="1"/>
    </row>
    <row r="563" spans="1:10" x14ac:dyDescent="0.3">
      <c r="A563">
        <v>70</v>
      </c>
      <c r="B563" s="1">
        <v>2000</v>
      </c>
      <c r="C563" s="1" t="s">
        <v>0</v>
      </c>
      <c r="D563" s="1">
        <v>6</v>
      </c>
      <c r="E563" s="1">
        <v>6</v>
      </c>
      <c r="F563" s="1"/>
      <c r="G563" s="1"/>
      <c r="H563" s="1"/>
      <c r="I563" s="1"/>
      <c r="J563" s="1"/>
    </row>
    <row r="564" spans="1:10" x14ac:dyDescent="0.3">
      <c r="A564">
        <v>70</v>
      </c>
      <c r="B564" s="1">
        <v>2001</v>
      </c>
      <c r="C564" s="1" t="s">
        <v>0</v>
      </c>
      <c r="D564" s="1">
        <v>8</v>
      </c>
      <c r="E564" s="1">
        <v>6</v>
      </c>
      <c r="F564" s="1">
        <v>2</v>
      </c>
      <c r="G564" s="1"/>
      <c r="H564" s="1"/>
      <c r="I564" s="1"/>
      <c r="J564" s="1"/>
    </row>
    <row r="565" spans="1:10" x14ac:dyDescent="0.3">
      <c r="A565">
        <v>70</v>
      </c>
      <c r="B565" s="1">
        <v>2002</v>
      </c>
      <c r="C565" s="1" t="s">
        <v>0</v>
      </c>
      <c r="D565" s="1">
        <v>4</v>
      </c>
      <c r="E565" s="1">
        <v>3</v>
      </c>
      <c r="F565" s="1">
        <v>1</v>
      </c>
      <c r="G565" s="1"/>
      <c r="H565" s="1"/>
      <c r="I565" s="1"/>
      <c r="J565" s="1"/>
    </row>
    <row r="566" spans="1:10" x14ac:dyDescent="0.3">
      <c r="A566">
        <v>70</v>
      </c>
      <c r="B566" s="1">
        <v>2003</v>
      </c>
      <c r="C566" s="1" t="s">
        <v>0</v>
      </c>
      <c r="D566" s="1">
        <v>7</v>
      </c>
      <c r="E566" s="1">
        <v>5</v>
      </c>
      <c r="F566" s="1">
        <v>2</v>
      </c>
      <c r="G566" s="1"/>
      <c r="H566" s="1"/>
      <c r="I566" s="1"/>
      <c r="J566" s="1"/>
    </row>
    <row r="567" spans="1:10" x14ac:dyDescent="0.3">
      <c r="A567">
        <v>70</v>
      </c>
      <c r="B567" s="1">
        <v>2004</v>
      </c>
      <c r="C567" s="1" t="s">
        <v>0</v>
      </c>
      <c r="D567" s="1">
        <v>7</v>
      </c>
      <c r="E567" s="1">
        <v>6</v>
      </c>
      <c r="F567" s="1">
        <v>1</v>
      </c>
      <c r="G567" s="1"/>
      <c r="H567" s="1"/>
      <c r="I567" s="1"/>
      <c r="J567" s="1"/>
    </row>
    <row r="568" spans="1:10" x14ac:dyDescent="0.3">
      <c r="A568">
        <v>70</v>
      </c>
      <c r="B568" s="1">
        <v>2005</v>
      </c>
      <c r="C568" s="1" t="s">
        <v>0</v>
      </c>
      <c r="D568" s="1">
        <v>5</v>
      </c>
      <c r="E568" s="1">
        <v>4</v>
      </c>
      <c r="F568" s="1">
        <v>1</v>
      </c>
      <c r="G568" s="1"/>
      <c r="H568" s="1"/>
      <c r="I568" s="1"/>
      <c r="J568" s="1"/>
    </row>
    <row r="569" spans="1:10" x14ac:dyDescent="0.3">
      <c r="A569">
        <v>70</v>
      </c>
      <c r="B569" s="1">
        <v>2006</v>
      </c>
      <c r="C569" s="1" t="s">
        <v>0</v>
      </c>
      <c r="D569" s="1">
        <v>10</v>
      </c>
      <c r="E569" s="1">
        <v>9</v>
      </c>
      <c r="F569" s="1">
        <v>1</v>
      </c>
      <c r="G569" s="1"/>
      <c r="H569" s="1"/>
      <c r="I569" s="1"/>
      <c r="J569" s="1"/>
    </row>
    <row r="570" spans="1:10" x14ac:dyDescent="0.3">
      <c r="A570">
        <v>70</v>
      </c>
      <c r="B570" s="1">
        <v>2007</v>
      </c>
      <c r="C570" s="1" t="s">
        <v>0</v>
      </c>
      <c r="D570" s="1">
        <v>6</v>
      </c>
      <c r="E570" s="1">
        <v>5</v>
      </c>
      <c r="F570" s="1">
        <v>1</v>
      </c>
      <c r="G570" s="1"/>
      <c r="H570" s="1"/>
      <c r="I570" s="1"/>
      <c r="J570" s="1"/>
    </row>
    <row r="571" spans="1:10" x14ac:dyDescent="0.3">
      <c r="A571">
        <v>70</v>
      </c>
      <c r="B571" s="1">
        <v>2008</v>
      </c>
      <c r="C571" s="1" t="s">
        <v>0</v>
      </c>
      <c r="D571" s="1">
        <v>13</v>
      </c>
      <c r="E571" s="1">
        <v>10</v>
      </c>
      <c r="F571" s="1">
        <v>3</v>
      </c>
      <c r="G571" s="1"/>
      <c r="H571" s="1"/>
      <c r="I571" s="1"/>
      <c r="J571" s="1"/>
    </row>
    <row r="572" spans="1:10" x14ac:dyDescent="0.3">
      <c r="A572">
        <v>70</v>
      </c>
      <c r="B572" s="1">
        <v>2009</v>
      </c>
      <c r="C572" s="1" t="s">
        <v>0</v>
      </c>
      <c r="D572" s="1">
        <v>10</v>
      </c>
      <c r="E572" s="1">
        <v>9</v>
      </c>
      <c r="F572" s="1">
        <v>1</v>
      </c>
      <c r="G572" s="1"/>
      <c r="H572" s="1"/>
      <c r="I572" s="1"/>
      <c r="J572" s="1"/>
    </row>
    <row r="573" spans="1:10" x14ac:dyDescent="0.3">
      <c r="A573">
        <v>70</v>
      </c>
      <c r="B573" s="1">
        <v>2010</v>
      </c>
      <c r="C573" s="1" t="s">
        <v>0</v>
      </c>
      <c r="D573" s="1">
        <v>14</v>
      </c>
      <c r="E573" s="1">
        <v>11</v>
      </c>
      <c r="F573" s="1">
        <v>3</v>
      </c>
      <c r="G573" s="1"/>
      <c r="H573" s="1"/>
      <c r="I573" s="1"/>
      <c r="J573" s="1"/>
    </row>
    <row r="574" spans="1:10" x14ac:dyDescent="0.3">
      <c r="A574">
        <v>70</v>
      </c>
      <c r="B574" s="1">
        <v>2011</v>
      </c>
      <c r="C574" s="1" t="s">
        <v>0</v>
      </c>
      <c r="D574" s="1">
        <v>14</v>
      </c>
      <c r="E574" s="1">
        <v>12</v>
      </c>
      <c r="F574" s="1">
        <v>2</v>
      </c>
      <c r="G574" s="1"/>
      <c r="H574" s="1"/>
      <c r="I574" s="1"/>
      <c r="J574" s="1"/>
    </row>
    <row r="575" spans="1:10" x14ac:dyDescent="0.3">
      <c r="A575">
        <v>70</v>
      </c>
      <c r="B575" s="1">
        <v>2012</v>
      </c>
      <c r="C575" s="1" t="s">
        <v>0</v>
      </c>
      <c r="D575" s="1">
        <v>13</v>
      </c>
      <c r="E575" s="1">
        <v>13</v>
      </c>
      <c r="F575" s="1"/>
      <c r="G575" s="1"/>
      <c r="H575" s="1"/>
      <c r="I575" s="1"/>
      <c r="J575" s="1"/>
    </row>
    <row r="576" spans="1:10" x14ac:dyDescent="0.3">
      <c r="A576">
        <v>70</v>
      </c>
      <c r="B576" s="1">
        <v>2013</v>
      </c>
      <c r="C576" s="1" t="s">
        <v>0</v>
      </c>
      <c r="D576" s="1">
        <v>12</v>
      </c>
      <c r="E576" s="1">
        <v>9</v>
      </c>
      <c r="F576" s="1">
        <v>3</v>
      </c>
      <c r="G576" s="1"/>
      <c r="H576" s="1"/>
      <c r="I576" s="1"/>
      <c r="J576" s="1"/>
    </row>
    <row r="577" spans="1:10" x14ac:dyDescent="0.3">
      <c r="A577">
        <v>70</v>
      </c>
      <c r="B577" s="1">
        <v>2014</v>
      </c>
      <c r="C577" s="1" t="s">
        <v>0</v>
      </c>
      <c r="D577" s="1">
        <v>8</v>
      </c>
      <c r="E577" s="1">
        <v>7</v>
      </c>
      <c r="F577" s="1">
        <v>1</v>
      </c>
      <c r="G577" s="1"/>
      <c r="H577" s="1"/>
      <c r="I577" s="1"/>
      <c r="J577" s="1"/>
    </row>
    <row r="578" spans="1:10" x14ac:dyDescent="0.3">
      <c r="A578">
        <v>70</v>
      </c>
      <c r="B578" s="1">
        <v>2015</v>
      </c>
      <c r="C578" s="1" t="s">
        <v>0</v>
      </c>
      <c r="D578" s="1">
        <v>14</v>
      </c>
      <c r="E578" s="1">
        <v>11</v>
      </c>
      <c r="F578" s="1">
        <v>3</v>
      </c>
      <c r="G578" s="1"/>
      <c r="H578" s="1"/>
      <c r="I578" s="1"/>
      <c r="J578" s="1"/>
    </row>
    <row r="579" spans="1:10" x14ac:dyDescent="0.3">
      <c r="A579">
        <v>70</v>
      </c>
      <c r="B579" s="1">
        <v>2016</v>
      </c>
      <c r="C579" s="1" t="s">
        <v>0</v>
      </c>
      <c r="D579" s="1">
        <v>8</v>
      </c>
      <c r="E579" s="1">
        <v>6</v>
      </c>
      <c r="F579" s="1">
        <v>2</v>
      </c>
      <c r="G579" s="1"/>
      <c r="H579" s="1"/>
      <c r="I579" s="1"/>
      <c r="J579" s="1"/>
    </row>
    <row r="580" spans="1:10" x14ac:dyDescent="0.3">
      <c r="A580">
        <v>70</v>
      </c>
      <c r="B580" s="1">
        <v>2017</v>
      </c>
      <c r="C580" s="1" t="s">
        <v>0</v>
      </c>
      <c r="D580" s="1">
        <v>20</v>
      </c>
      <c r="E580" s="1">
        <v>16</v>
      </c>
      <c r="F580" s="1">
        <v>4</v>
      </c>
      <c r="G580" s="1"/>
      <c r="H580" s="1"/>
      <c r="I580" s="1"/>
      <c r="J580" s="1"/>
    </row>
    <row r="581" spans="1:10" x14ac:dyDescent="0.3">
      <c r="A581">
        <v>70</v>
      </c>
      <c r="B581" s="1">
        <v>2018</v>
      </c>
      <c r="C581" s="1" t="s">
        <v>0</v>
      </c>
      <c r="D581" s="1">
        <v>21</v>
      </c>
      <c r="E581" s="1">
        <v>20</v>
      </c>
      <c r="F581" s="1">
        <v>1</v>
      </c>
      <c r="G581" s="1"/>
      <c r="H581" s="1"/>
      <c r="I581" s="1"/>
      <c r="J581" s="1"/>
    </row>
    <row r="582" spans="1:10" x14ac:dyDescent="0.3">
      <c r="A582">
        <v>70</v>
      </c>
      <c r="B582" s="1">
        <v>2019</v>
      </c>
      <c r="C582" s="1" t="s">
        <v>0</v>
      </c>
      <c r="D582" s="1">
        <v>21</v>
      </c>
      <c r="E582" s="1">
        <v>18</v>
      </c>
      <c r="F582" s="1">
        <v>3</v>
      </c>
      <c r="G582" s="1"/>
      <c r="H582" s="1"/>
      <c r="I582" s="1"/>
      <c r="J582" s="1"/>
    </row>
    <row r="583" spans="1:10" x14ac:dyDescent="0.3">
      <c r="A583">
        <v>70</v>
      </c>
      <c r="B583" s="1">
        <v>2020</v>
      </c>
      <c r="C583" s="1" t="s">
        <v>0</v>
      </c>
      <c r="D583" s="1">
        <v>18</v>
      </c>
      <c r="E583" s="1">
        <v>14</v>
      </c>
      <c r="F583" s="1">
        <v>4</v>
      </c>
      <c r="G583" s="1"/>
      <c r="H583" s="1"/>
      <c r="I583" s="1"/>
      <c r="J583" s="1"/>
    </row>
    <row r="584" spans="1:10" x14ac:dyDescent="0.3">
      <c r="A584">
        <v>70</v>
      </c>
      <c r="B584" s="1">
        <v>2021</v>
      </c>
      <c r="C584" s="1" t="s">
        <v>0</v>
      </c>
      <c r="D584" s="1">
        <v>15</v>
      </c>
      <c r="E584" s="1">
        <v>13</v>
      </c>
      <c r="F584" s="1">
        <v>2</v>
      </c>
      <c r="G584" s="1"/>
      <c r="H584" s="1"/>
      <c r="I584" s="1"/>
      <c r="J584" s="1"/>
    </row>
    <row r="585" spans="1:10" x14ac:dyDescent="0.3">
      <c r="A585">
        <v>70</v>
      </c>
      <c r="B585" s="1">
        <v>2022</v>
      </c>
      <c r="C585" s="1" t="s">
        <v>0</v>
      </c>
      <c r="D585" s="1">
        <v>11</v>
      </c>
      <c r="E585" s="1">
        <v>9</v>
      </c>
      <c r="F585" s="1">
        <v>2</v>
      </c>
      <c r="G585" s="1"/>
      <c r="H585" s="1"/>
      <c r="I585" s="1"/>
      <c r="J585" s="1"/>
    </row>
    <row r="586" spans="1:10" x14ac:dyDescent="0.3">
      <c r="A586">
        <v>70</v>
      </c>
      <c r="B586" s="1">
        <v>2023</v>
      </c>
      <c r="C586" s="1" t="s">
        <v>0</v>
      </c>
      <c r="D586" s="1">
        <v>16</v>
      </c>
      <c r="E586" s="1">
        <v>13</v>
      </c>
      <c r="F586" s="1">
        <v>3</v>
      </c>
      <c r="G586" s="1"/>
      <c r="H586" s="1"/>
      <c r="I586" s="1"/>
      <c r="J586" s="1"/>
    </row>
    <row r="587" spans="1:10" x14ac:dyDescent="0.3">
      <c r="A587">
        <v>70</v>
      </c>
      <c r="B587" s="1">
        <v>2024</v>
      </c>
      <c r="C587" s="1" t="s">
        <v>0</v>
      </c>
      <c r="D587" s="1">
        <v>12</v>
      </c>
      <c r="E587" s="1">
        <v>10</v>
      </c>
      <c r="F587" s="1">
        <v>2</v>
      </c>
      <c r="G587" s="1"/>
      <c r="H587" s="1"/>
      <c r="I587" s="1"/>
      <c r="J587" s="1"/>
    </row>
    <row r="588" spans="1:10" x14ac:dyDescent="0.3">
      <c r="A588" s="3">
        <v>75</v>
      </c>
      <c r="B588" s="1">
        <v>1990</v>
      </c>
      <c r="C588" s="1" t="s">
        <v>0</v>
      </c>
      <c r="D588" s="1">
        <v>13</v>
      </c>
      <c r="E588" s="1">
        <v>11</v>
      </c>
      <c r="F588" s="1">
        <v>2</v>
      </c>
      <c r="G588" s="1"/>
      <c r="H588" s="1"/>
      <c r="I588" s="1"/>
      <c r="J588" s="1"/>
    </row>
    <row r="589" spans="1:10" x14ac:dyDescent="0.3">
      <c r="A589">
        <v>75</v>
      </c>
      <c r="B589" s="1">
        <v>1991</v>
      </c>
      <c r="C589" s="1" t="s">
        <v>0</v>
      </c>
      <c r="D589" s="1">
        <v>9</v>
      </c>
      <c r="E589" s="1">
        <v>7</v>
      </c>
      <c r="F589" s="1">
        <v>2</v>
      </c>
      <c r="G589" s="1"/>
      <c r="H589" s="1"/>
      <c r="I589" s="1"/>
      <c r="J589" s="1"/>
    </row>
    <row r="590" spans="1:10" x14ac:dyDescent="0.3">
      <c r="A590">
        <v>75</v>
      </c>
      <c r="B590" s="1">
        <v>1992</v>
      </c>
      <c r="C590" s="1" t="s">
        <v>0</v>
      </c>
      <c r="D590" s="1">
        <v>7</v>
      </c>
      <c r="E590" s="1">
        <v>5</v>
      </c>
      <c r="F590" s="1">
        <v>2</v>
      </c>
      <c r="G590" s="1"/>
      <c r="H590" s="1"/>
      <c r="I590" s="1"/>
      <c r="J590" s="1"/>
    </row>
    <row r="591" spans="1:10" x14ac:dyDescent="0.3">
      <c r="A591">
        <v>75</v>
      </c>
      <c r="B591" s="1">
        <v>1993</v>
      </c>
      <c r="C591" s="1" t="s">
        <v>0</v>
      </c>
      <c r="D591" s="1">
        <v>4</v>
      </c>
      <c r="E591" s="1">
        <v>4</v>
      </c>
      <c r="F591" s="1"/>
      <c r="G591" s="1"/>
      <c r="H591" s="1"/>
      <c r="I591" s="1"/>
      <c r="J591" s="1"/>
    </row>
    <row r="592" spans="1:10" x14ac:dyDescent="0.3">
      <c r="A592">
        <v>75</v>
      </c>
      <c r="B592" s="1">
        <v>1994</v>
      </c>
      <c r="C592" s="1" t="s">
        <v>0</v>
      </c>
      <c r="D592" s="1">
        <v>5</v>
      </c>
      <c r="E592" s="1">
        <v>3</v>
      </c>
      <c r="F592" s="1">
        <v>2</v>
      </c>
      <c r="G592" s="1"/>
      <c r="H592" s="1"/>
      <c r="I592" s="1"/>
      <c r="J592" s="1"/>
    </row>
    <row r="593" spans="1:10" x14ac:dyDescent="0.3">
      <c r="A593">
        <v>75</v>
      </c>
      <c r="B593" s="1">
        <v>1995</v>
      </c>
      <c r="C593" s="1" t="s">
        <v>0</v>
      </c>
      <c r="D593" s="1">
        <v>6</v>
      </c>
      <c r="E593" s="1">
        <v>4</v>
      </c>
      <c r="F593" s="1">
        <v>2</v>
      </c>
      <c r="G593" s="1"/>
      <c r="H593" s="1"/>
      <c r="I593" s="1"/>
      <c r="J593" s="1"/>
    </row>
    <row r="594" spans="1:10" x14ac:dyDescent="0.3">
      <c r="A594">
        <v>75</v>
      </c>
      <c r="B594" s="1">
        <v>1996</v>
      </c>
      <c r="C594" s="1" t="s">
        <v>0</v>
      </c>
      <c r="D594" s="1">
        <v>8</v>
      </c>
      <c r="E594" s="1">
        <v>6</v>
      </c>
      <c r="F594" s="1">
        <v>2</v>
      </c>
      <c r="G594" s="1"/>
      <c r="H594" s="1"/>
      <c r="I594" s="1"/>
      <c r="J594" s="1"/>
    </row>
    <row r="595" spans="1:10" x14ac:dyDescent="0.3">
      <c r="A595">
        <v>75</v>
      </c>
      <c r="B595" s="1">
        <v>1997</v>
      </c>
      <c r="C595" s="1" t="s">
        <v>0</v>
      </c>
      <c r="D595" s="1">
        <v>9</v>
      </c>
      <c r="E595" s="1">
        <v>9</v>
      </c>
      <c r="F595" s="1"/>
      <c r="G595" s="1"/>
      <c r="H595" s="1"/>
      <c r="I595" s="1"/>
      <c r="J595" s="1"/>
    </row>
    <row r="596" spans="1:10" x14ac:dyDescent="0.3">
      <c r="A596">
        <v>75</v>
      </c>
      <c r="B596" s="1">
        <v>1998</v>
      </c>
      <c r="C596" s="1" t="s">
        <v>0</v>
      </c>
      <c r="D596" s="1">
        <v>8</v>
      </c>
      <c r="E596" s="1">
        <v>5</v>
      </c>
      <c r="F596" s="1">
        <v>3</v>
      </c>
      <c r="G596" s="1"/>
      <c r="H596" s="1"/>
      <c r="I596" s="1"/>
      <c r="J596" s="1"/>
    </row>
    <row r="597" spans="1:10" x14ac:dyDescent="0.3">
      <c r="A597">
        <v>75</v>
      </c>
      <c r="B597" s="1">
        <v>1999</v>
      </c>
      <c r="C597" s="1" t="s">
        <v>0</v>
      </c>
      <c r="D597" s="1">
        <v>9</v>
      </c>
      <c r="E597" s="1">
        <v>8</v>
      </c>
      <c r="F597" s="1">
        <v>1</v>
      </c>
      <c r="G597" s="1"/>
      <c r="H597" s="1"/>
      <c r="I597" s="1"/>
      <c r="J597" s="1"/>
    </row>
    <row r="598" spans="1:10" x14ac:dyDescent="0.3">
      <c r="A598">
        <v>75</v>
      </c>
      <c r="B598" s="1">
        <v>2000</v>
      </c>
      <c r="C598" s="1" t="s">
        <v>0</v>
      </c>
      <c r="D598" s="1">
        <v>3</v>
      </c>
      <c r="E598" s="1">
        <v>2</v>
      </c>
      <c r="F598" s="1">
        <v>1</v>
      </c>
      <c r="G598" s="1"/>
      <c r="H598" s="1"/>
      <c r="I598" s="1"/>
      <c r="J598" s="1"/>
    </row>
    <row r="599" spans="1:10" x14ac:dyDescent="0.3">
      <c r="A599">
        <v>75</v>
      </c>
      <c r="B599" s="1">
        <v>2001</v>
      </c>
      <c r="C599" s="1" t="s">
        <v>0</v>
      </c>
      <c r="D599" s="1">
        <v>3</v>
      </c>
      <c r="E599" s="1">
        <v>3</v>
      </c>
      <c r="F599" s="1"/>
      <c r="G599" s="1"/>
      <c r="H599" s="1"/>
      <c r="I599" s="1"/>
      <c r="J599" s="1"/>
    </row>
    <row r="600" spans="1:10" x14ac:dyDescent="0.3">
      <c r="A600">
        <v>75</v>
      </c>
      <c r="B600" s="1">
        <v>2002</v>
      </c>
      <c r="C600" s="1" t="s">
        <v>0</v>
      </c>
      <c r="D600" s="1">
        <v>3</v>
      </c>
      <c r="E600" s="1">
        <v>3</v>
      </c>
      <c r="F600" s="1"/>
      <c r="G600" s="1"/>
      <c r="H600" s="1"/>
      <c r="I600" s="1"/>
      <c r="J600" s="1"/>
    </row>
    <row r="601" spans="1:10" x14ac:dyDescent="0.3">
      <c r="A601">
        <v>75</v>
      </c>
      <c r="B601" s="1">
        <v>2003</v>
      </c>
      <c r="C601" s="1" t="s">
        <v>0</v>
      </c>
      <c r="D601" s="1">
        <v>5</v>
      </c>
      <c r="E601" s="1">
        <v>4</v>
      </c>
      <c r="F601" s="1">
        <v>1</v>
      </c>
      <c r="G601" s="1"/>
      <c r="H601" s="1"/>
      <c r="I601" s="1"/>
      <c r="J601" s="1"/>
    </row>
    <row r="602" spans="1:10" x14ac:dyDescent="0.3">
      <c r="A602">
        <v>75</v>
      </c>
      <c r="B602" s="1">
        <v>2004</v>
      </c>
      <c r="C602" s="1" t="s">
        <v>0</v>
      </c>
      <c r="D602" s="1">
        <v>7</v>
      </c>
      <c r="E602" s="1">
        <v>6</v>
      </c>
      <c r="F602" s="1">
        <v>1</v>
      </c>
      <c r="G602" s="1"/>
      <c r="H602" s="1"/>
      <c r="I602" s="1"/>
      <c r="J602" s="1"/>
    </row>
    <row r="603" spans="1:10" x14ac:dyDescent="0.3">
      <c r="A603">
        <v>75</v>
      </c>
      <c r="B603" s="1">
        <v>2005</v>
      </c>
      <c r="C603" s="1" t="s">
        <v>0</v>
      </c>
      <c r="D603" s="1">
        <v>1</v>
      </c>
      <c r="E603" s="1">
        <v>1</v>
      </c>
      <c r="F603" s="1"/>
      <c r="G603" s="1"/>
      <c r="H603" s="1"/>
      <c r="I603" s="1"/>
      <c r="J603" s="1"/>
    </row>
    <row r="604" spans="1:10" x14ac:dyDescent="0.3">
      <c r="A604">
        <v>75</v>
      </c>
      <c r="B604" s="1">
        <v>2006</v>
      </c>
      <c r="C604" s="1" t="s">
        <v>0</v>
      </c>
      <c r="D604" s="1">
        <v>8</v>
      </c>
      <c r="E604" s="1">
        <v>8</v>
      </c>
      <c r="F604" s="1"/>
      <c r="G604" s="1"/>
      <c r="H604" s="1"/>
      <c r="I604" s="1"/>
      <c r="J604" s="1"/>
    </row>
    <row r="605" spans="1:10" x14ac:dyDescent="0.3">
      <c r="A605">
        <v>75</v>
      </c>
      <c r="B605" s="1">
        <v>2007</v>
      </c>
      <c r="C605" s="1" t="s">
        <v>0</v>
      </c>
      <c r="D605" s="1">
        <v>3</v>
      </c>
      <c r="E605" s="1">
        <v>3</v>
      </c>
      <c r="F605" s="1"/>
      <c r="G605" s="1"/>
      <c r="H605" s="1"/>
      <c r="I605" s="1"/>
      <c r="J605" s="1"/>
    </row>
    <row r="606" spans="1:10" x14ac:dyDescent="0.3">
      <c r="A606">
        <v>75</v>
      </c>
      <c r="B606" s="1">
        <v>2008</v>
      </c>
      <c r="C606" s="1" t="s">
        <v>0</v>
      </c>
      <c r="D606" s="1">
        <v>7</v>
      </c>
      <c r="E606" s="1">
        <v>5</v>
      </c>
      <c r="F606" s="1">
        <v>2</v>
      </c>
      <c r="G606" s="1"/>
      <c r="H606" s="1"/>
      <c r="I606" s="1"/>
      <c r="J606" s="1"/>
    </row>
    <row r="607" spans="1:10" x14ac:dyDescent="0.3">
      <c r="A607">
        <v>75</v>
      </c>
      <c r="B607" s="1">
        <v>2009</v>
      </c>
      <c r="C607" s="1" t="s">
        <v>0</v>
      </c>
      <c r="D607" s="1">
        <v>11</v>
      </c>
      <c r="E607" s="1">
        <v>10</v>
      </c>
      <c r="F607" s="1">
        <v>1</v>
      </c>
      <c r="G607" s="1"/>
      <c r="H607" s="1"/>
      <c r="I607" s="1"/>
      <c r="J607" s="1"/>
    </row>
    <row r="608" spans="1:10" x14ac:dyDescent="0.3">
      <c r="A608">
        <v>75</v>
      </c>
      <c r="B608" s="1">
        <v>2010</v>
      </c>
      <c r="C608" s="1" t="s">
        <v>0</v>
      </c>
      <c r="D608" s="1">
        <v>4</v>
      </c>
      <c r="E608" s="1">
        <v>3</v>
      </c>
      <c r="F608" s="1">
        <v>1</v>
      </c>
      <c r="G608" s="1"/>
      <c r="H608" s="1"/>
      <c r="I608" s="1"/>
      <c r="J608" s="1"/>
    </row>
    <row r="609" spans="1:10" x14ac:dyDescent="0.3">
      <c r="A609">
        <v>75</v>
      </c>
      <c r="B609" s="1">
        <v>2011</v>
      </c>
      <c r="C609" s="1" t="s">
        <v>0</v>
      </c>
      <c r="D609" s="1">
        <v>9</v>
      </c>
      <c r="E609" s="1">
        <v>6</v>
      </c>
      <c r="F609" s="1">
        <v>3</v>
      </c>
      <c r="G609" s="1"/>
      <c r="H609" s="1"/>
      <c r="I609" s="1"/>
      <c r="J609" s="1"/>
    </row>
    <row r="610" spans="1:10" x14ac:dyDescent="0.3">
      <c r="A610">
        <v>75</v>
      </c>
      <c r="B610" s="1">
        <v>2012</v>
      </c>
      <c r="C610" s="1" t="s">
        <v>0</v>
      </c>
      <c r="D610" s="1">
        <v>8</v>
      </c>
      <c r="E610" s="1">
        <v>7</v>
      </c>
      <c r="F610" s="1">
        <v>1</v>
      </c>
      <c r="G610" s="1"/>
      <c r="H610" s="1"/>
      <c r="I610" s="1"/>
      <c r="J610" s="1"/>
    </row>
    <row r="611" spans="1:10" x14ac:dyDescent="0.3">
      <c r="A611">
        <v>75</v>
      </c>
      <c r="B611" s="1">
        <v>2013</v>
      </c>
      <c r="C611" s="1" t="s">
        <v>0</v>
      </c>
      <c r="D611" s="1">
        <v>6</v>
      </c>
      <c r="E611" s="1">
        <v>6</v>
      </c>
      <c r="F611" s="1"/>
      <c r="G611" s="1"/>
      <c r="H611" s="1"/>
      <c r="I611" s="1"/>
      <c r="J611" s="1"/>
    </row>
    <row r="612" spans="1:10" x14ac:dyDescent="0.3">
      <c r="A612">
        <v>75</v>
      </c>
      <c r="B612" s="1">
        <v>2014</v>
      </c>
      <c r="C612" s="1" t="s">
        <v>0</v>
      </c>
      <c r="D612" s="1">
        <v>12</v>
      </c>
      <c r="E612" s="1">
        <v>9</v>
      </c>
      <c r="F612" s="1">
        <v>3</v>
      </c>
      <c r="G612" s="1"/>
      <c r="H612" s="1"/>
      <c r="I612" s="1"/>
      <c r="J612" s="1"/>
    </row>
    <row r="613" spans="1:10" x14ac:dyDescent="0.3">
      <c r="A613">
        <v>75</v>
      </c>
      <c r="B613" s="1">
        <v>2015</v>
      </c>
      <c r="C613" s="1" t="s">
        <v>0</v>
      </c>
      <c r="D613" s="1">
        <v>9</v>
      </c>
      <c r="E613" s="1">
        <v>7</v>
      </c>
      <c r="F613" s="1">
        <v>2</v>
      </c>
      <c r="G613" s="1"/>
      <c r="H613" s="1"/>
      <c r="I613" s="1"/>
      <c r="J613" s="1"/>
    </row>
    <row r="614" spans="1:10" x14ac:dyDescent="0.3">
      <c r="A614">
        <v>75</v>
      </c>
      <c r="B614" s="1">
        <v>2016</v>
      </c>
      <c r="C614" s="1" t="s">
        <v>0</v>
      </c>
      <c r="D614" s="1">
        <v>12</v>
      </c>
      <c r="E614" s="1">
        <v>10</v>
      </c>
      <c r="F614" s="1">
        <v>2</v>
      </c>
      <c r="G614" s="1"/>
      <c r="H614" s="1"/>
      <c r="I614" s="1"/>
      <c r="J614" s="1"/>
    </row>
    <row r="615" spans="1:10" x14ac:dyDescent="0.3">
      <c r="A615">
        <v>75</v>
      </c>
      <c r="B615" s="1">
        <v>2017</v>
      </c>
      <c r="C615" s="1" t="s">
        <v>0</v>
      </c>
      <c r="D615" s="1">
        <v>7</v>
      </c>
      <c r="E615" s="1">
        <v>7</v>
      </c>
      <c r="F615" s="1"/>
      <c r="G615" s="1"/>
      <c r="H615" s="1"/>
      <c r="I615" s="1"/>
      <c r="J615" s="1"/>
    </row>
    <row r="616" spans="1:10" x14ac:dyDescent="0.3">
      <c r="A616">
        <v>75</v>
      </c>
      <c r="B616" s="1">
        <v>2018</v>
      </c>
      <c r="C616" s="1" t="s">
        <v>0</v>
      </c>
      <c r="D616" s="1">
        <v>10</v>
      </c>
      <c r="E616" s="1">
        <v>7</v>
      </c>
      <c r="F616" s="1">
        <v>3</v>
      </c>
      <c r="G616" s="1"/>
      <c r="H616" s="1"/>
      <c r="I616" s="1"/>
      <c r="J616" s="1"/>
    </row>
    <row r="617" spans="1:10" x14ac:dyDescent="0.3">
      <c r="A617">
        <v>75</v>
      </c>
      <c r="B617" s="1">
        <v>2019</v>
      </c>
      <c r="C617" s="1" t="s">
        <v>0</v>
      </c>
      <c r="D617" s="1">
        <v>9</v>
      </c>
      <c r="E617" s="1">
        <v>7</v>
      </c>
      <c r="F617" s="1">
        <v>2</v>
      </c>
      <c r="G617" s="1"/>
      <c r="H617" s="1"/>
      <c r="I617" s="1"/>
      <c r="J617" s="1"/>
    </row>
    <row r="618" spans="1:10" x14ac:dyDescent="0.3">
      <c r="A618">
        <v>75</v>
      </c>
      <c r="B618" s="1">
        <v>2020</v>
      </c>
      <c r="C618" s="1" t="s">
        <v>0</v>
      </c>
      <c r="D618" s="1">
        <v>5</v>
      </c>
      <c r="E618" s="1">
        <v>5</v>
      </c>
      <c r="F618" s="1"/>
      <c r="G618" s="1"/>
      <c r="H618" s="1"/>
      <c r="I618" s="1"/>
      <c r="J618" s="1"/>
    </row>
    <row r="619" spans="1:10" x14ac:dyDescent="0.3">
      <c r="A619">
        <v>75</v>
      </c>
      <c r="B619" s="1">
        <v>2021</v>
      </c>
      <c r="C619" s="1" t="s">
        <v>0</v>
      </c>
      <c r="D619" s="1">
        <v>7</v>
      </c>
      <c r="E619" s="1">
        <v>5</v>
      </c>
      <c r="F619" s="1">
        <v>2</v>
      </c>
      <c r="G619" s="1"/>
      <c r="H619" s="1"/>
      <c r="I619" s="1"/>
      <c r="J619" s="1"/>
    </row>
    <row r="620" spans="1:10" x14ac:dyDescent="0.3">
      <c r="A620">
        <v>75</v>
      </c>
      <c r="B620" s="1">
        <v>2022</v>
      </c>
      <c r="C620" s="1" t="s">
        <v>0</v>
      </c>
      <c r="D620" s="1">
        <v>8</v>
      </c>
      <c r="E620" s="1">
        <v>7</v>
      </c>
      <c r="F620" s="1">
        <v>1</v>
      </c>
      <c r="G620" s="1"/>
      <c r="H620" s="1"/>
      <c r="I620" s="1"/>
      <c r="J620" s="1"/>
    </row>
    <row r="621" spans="1:10" x14ac:dyDescent="0.3">
      <c r="A621">
        <v>75</v>
      </c>
      <c r="B621" s="1">
        <v>2023</v>
      </c>
      <c r="C621" s="1" t="s">
        <v>0</v>
      </c>
      <c r="D621" s="1">
        <v>8</v>
      </c>
      <c r="E621" s="1">
        <v>7</v>
      </c>
      <c r="F621" s="1">
        <v>1</v>
      </c>
      <c r="G621" s="1"/>
      <c r="H621" s="1"/>
      <c r="I621" s="1"/>
      <c r="J621" s="1"/>
    </row>
    <row r="622" spans="1:10" x14ac:dyDescent="0.3">
      <c r="A622">
        <v>75</v>
      </c>
      <c r="B622" s="1">
        <v>2024</v>
      </c>
      <c r="C622" s="1" t="s">
        <v>0</v>
      </c>
      <c r="D622" s="1">
        <v>8</v>
      </c>
      <c r="E622" s="1">
        <v>6</v>
      </c>
      <c r="F622" s="1">
        <v>2</v>
      </c>
      <c r="G622" s="1"/>
      <c r="H622" s="1"/>
      <c r="I622" s="1"/>
      <c r="J622" s="1"/>
    </row>
    <row r="623" spans="1:10" x14ac:dyDescent="0.3">
      <c r="A623" s="3">
        <v>80</v>
      </c>
      <c r="B623" s="1">
        <v>1990</v>
      </c>
      <c r="C623" s="1" t="s">
        <v>0</v>
      </c>
      <c r="D623" s="1">
        <v>5</v>
      </c>
      <c r="E623" s="1">
        <v>5</v>
      </c>
      <c r="F623" s="1"/>
      <c r="G623" s="1"/>
      <c r="H623" s="1"/>
      <c r="I623" s="1"/>
      <c r="J623" s="1"/>
    </row>
    <row r="624" spans="1:10" x14ac:dyDescent="0.3">
      <c r="A624">
        <v>80</v>
      </c>
      <c r="B624" s="1">
        <v>1991</v>
      </c>
      <c r="C624" s="1" t="s">
        <v>0</v>
      </c>
      <c r="D624" s="1">
        <v>5</v>
      </c>
      <c r="E624" s="1">
        <v>5</v>
      </c>
      <c r="F624" s="1"/>
      <c r="G624" s="1"/>
      <c r="H624" s="1"/>
      <c r="I624" s="1"/>
      <c r="J624" s="1"/>
    </row>
    <row r="625" spans="1:10" x14ac:dyDescent="0.3">
      <c r="A625">
        <v>80</v>
      </c>
      <c r="B625" s="1">
        <v>1992</v>
      </c>
      <c r="C625" s="1" t="s">
        <v>0</v>
      </c>
      <c r="D625" s="1">
        <v>6</v>
      </c>
      <c r="E625" s="1">
        <v>5</v>
      </c>
      <c r="F625" s="1">
        <v>1</v>
      </c>
      <c r="G625" s="1"/>
      <c r="H625" s="1"/>
      <c r="I625" s="1"/>
      <c r="J625" s="1"/>
    </row>
    <row r="626" spans="1:10" x14ac:dyDescent="0.3">
      <c r="A626">
        <v>80</v>
      </c>
      <c r="B626" s="1">
        <v>1993</v>
      </c>
      <c r="C626" s="1" t="s">
        <v>0</v>
      </c>
      <c r="D626" s="1">
        <v>3</v>
      </c>
      <c r="E626" s="1">
        <v>2</v>
      </c>
      <c r="F626" s="1">
        <v>1</v>
      </c>
      <c r="G626" s="1"/>
      <c r="H626" s="1"/>
      <c r="I626" s="1"/>
      <c r="J626" s="1"/>
    </row>
    <row r="627" spans="1:10" x14ac:dyDescent="0.3">
      <c r="A627">
        <v>80</v>
      </c>
      <c r="B627" s="1">
        <v>1994</v>
      </c>
      <c r="C627" s="1" t="s">
        <v>0</v>
      </c>
      <c r="D627" s="1">
        <v>4</v>
      </c>
      <c r="E627" s="1">
        <v>3</v>
      </c>
      <c r="F627" s="1">
        <v>1</v>
      </c>
      <c r="G627" s="1"/>
      <c r="H627" s="1"/>
      <c r="I627" s="1"/>
      <c r="J627" s="1"/>
    </row>
    <row r="628" spans="1:10" x14ac:dyDescent="0.3">
      <c r="A628">
        <v>80</v>
      </c>
      <c r="B628" s="1">
        <v>1995</v>
      </c>
      <c r="C628" s="1" t="s">
        <v>0</v>
      </c>
      <c r="D628" s="1">
        <v>2</v>
      </c>
      <c r="E628" s="1">
        <v>2</v>
      </c>
      <c r="F628" s="1"/>
      <c r="G628" s="1"/>
      <c r="H628" s="1"/>
      <c r="I628" s="1"/>
      <c r="J628" s="1"/>
    </row>
    <row r="629" spans="1:10" x14ac:dyDescent="0.3">
      <c r="A629">
        <v>80</v>
      </c>
      <c r="B629" s="1">
        <v>1996</v>
      </c>
      <c r="C629" s="1" t="s">
        <v>0</v>
      </c>
      <c r="D629" s="1">
        <v>4</v>
      </c>
      <c r="E629" s="1">
        <v>2</v>
      </c>
      <c r="F629" s="1">
        <v>2</v>
      </c>
      <c r="G629" s="1"/>
      <c r="H629" s="1"/>
      <c r="I629" s="1"/>
      <c r="J629" s="1"/>
    </row>
    <row r="630" spans="1:10" x14ac:dyDescent="0.3">
      <c r="A630">
        <v>80</v>
      </c>
      <c r="B630" s="1">
        <v>1997</v>
      </c>
      <c r="C630" s="1" t="s">
        <v>0</v>
      </c>
      <c r="D630" s="1">
        <v>3</v>
      </c>
      <c r="E630" s="1">
        <v>3</v>
      </c>
      <c r="F630" s="1"/>
      <c r="G630" s="1"/>
      <c r="H630" s="1"/>
      <c r="I630" s="1"/>
      <c r="J630" s="1"/>
    </row>
    <row r="631" spans="1:10" x14ac:dyDescent="0.3">
      <c r="A631">
        <v>80</v>
      </c>
      <c r="B631" s="1">
        <v>1998</v>
      </c>
      <c r="C631" s="1" t="s">
        <v>0</v>
      </c>
      <c r="D631" s="1">
        <v>3</v>
      </c>
      <c r="E631" s="1">
        <v>3</v>
      </c>
      <c r="F631" s="1"/>
      <c r="G631" s="1"/>
      <c r="H631" s="1"/>
      <c r="I631" s="1"/>
      <c r="J631" s="1"/>
    </row>
    <row r="632" spans="1:10" x14ac:dyDescent="0.3">
      <c r="A632">
        <v>80</v>
      </c>
      <c r="B632" s="1">
        <v>1999</v>
      </c>
      <c r="C632" s="1" t="s">
        <v>0</v>
      </c>
      <c r="D632" s="1">
        <v>3</v>
      </c>
      <c r="E632" s="1">
        <v>2</v>
      </c>
      <c r="F632" s="1">
        <v>1</v>
      </c>
      <c r="G632" s="1"/>
      <c r="H632" s="1"/>
      <c r="I632" s="1"/>
      <c r="J632" s="1"/>
    </row>
    <row r="633" spans="1:10" x14ac:dyDescent="0.3">
      <c r="A633">
        <v>80</v>
      </c>
      <c r="B633" s="1">
        <v>2000</v>
      </c>
      <c r="C633" s="1" t="s">
        <v>0</v>
      </c>
      <c r="D633" s="1">
        <v>3</v>
      </c>
      <c r="E633" s="1">
        <v>2</v>
      </c>
      <c r="F633" s="1">
        <v>1</v>
      </c>
      <c r="G633" s="1"/>
      <c r="H633" s="1"/>
      <c r="I633" s="1"/>
      <c r="J633" s="1"/>
    </row>
    <row r="634" spans="1:10" x14ac:dyDescent="0.3">
      <c r="A634">
        <v>80</v>
      </c>
      <c r="B634" s="1">
        <v>2001</v>
      </c>
      <c r="C634" s="1" t="s">
        <v>0</v>
      </c>
      <c r="D634" s="1">
        <v>2</v>
      </c>
      <c r="E634" s="1">
        <v>1</v>
      </c>
      <c r="F634" s="1">
        <v>1</v>
      </c>
      <c r="G634" s="1"/>
      <c r="H634" s="1"/>
      <c r="I634" s="1"/>
      <c r="J634" s="1"/>
    </row>
    <row r="635" spans="1:10" x14ac:dyDescent="0.3">
      <c r="A635">
        <v>80</v>
      </c>
      <c r="B635" s="1">
        <v>2002</v>
      </c>
      <c r="C635" s="1" t="s">
        <v>0</v>
      </c>
      <c r="D635" s="1">
        <v>5</v>
      </c>
      <c r="E635" s="1">
        <v>5</v>
      </c>
      <c r="F635" s="1"/>
      <c r="G635" s="1"/>
      <c r="H635" s="1"/>
      <c r="I635" s="1"/>
      <c r="J635" s="1"/>
    </row>
    <row r="636" spans="1:10" x14ac:dyDescent="0.3">
      <c r="A636">
        <v>80</v>
      </c>
      <c r="B636" s="1">
        <v>2003</v>
      </c>
      <c r="C636" s="1" t="s">
        <v>0</v>
      </c>
      <c r="D636" s="1">
        <v>4</v>
      </c>
      <c r="E636" s="1">
        <v>4</v>
      </c>
      <c r="F636" s="1"/>
      <c r="G636" s="1"/>
      <c r="H636" s="1"/>
      <c r="I636" s="1"/>
      <c r="J636" s="1"/>
    </row>
    <row r="637" spans="1:10" x14ac:dyDescent="0.3">
      <c r="A637">
        <v>80</v>
      </c>
      <c r="B637" s="1">
        <v>2004</v>
      </c>
      <c r="C637" s="1" t="s">
        <v>0</v>
      </c>
      <c r="D637" s="1">
        <v>3</v>
      </c>
      <c r="E637" s="1">
        <v>3</v>
      </c>
      <c r="F637" s="1"/>
      <c r="G637" s="1"/>
      <c r="H637" s="1"/>
      <c r="I637" s="1"/>
      <c r="J637" s="1"/>
    </row>
    <row r="638" spans="1:10" x14ac:dyDescent="0.3">
      <c r="A638">
        <v>80</v>
      </c>
      <c r="B638" s="1">
        <v>2005</v>
      </c>
      <c r="C638" s="1" t="s">
        <v>0</v>
      </c>
      <c r="D638" s="1">
        <v>3</v>
      </c>
      <c r="E638" s="1">
        <v>2</v>
      </c>
      <c r="F638" s="1">
        <v>1</v>
      </c>
      <c r="G638" s="1"/>
      <c r="H638" s="1"/>
      <c r="I638" s="1"/>
      <c r="J638" s="1"/>
    </row>
    <row r="639" spans="1:10" x14ac:dyDescent="0.3">
      <c r="A639">
        <v>80</v>
      </c>
      <c r="B639" s="1">
        <v>2006</v>
      </c>
      <c r="C639" s="1" t="s">
        <v>0</v>
      </c>
      <c r="D639" s="1">
        <v>3</v>
      </c>
      <c r="E639" s="1">
        <v>2</v>
      </c>
      <c r="F639" s="1">
        <v>1</v>
      </c>
      <c r="G639" s="1"/>
      <c r="H639" s="1"/>
      <c r="I639" s="1"/>
      <c r="J639" s="1"/>
    </row>
    <row r="640" spans="1:10" x14ac:dyDescent="0.3">
      <c r="A640">
        <v>80</v>
      </c>
      <c r="B640" s="1">
        <v>2007</v>
      </c>
      <c r="C640" s="1" t="s">
        <v>0</v>
      </c>
      <c r="D640" s="1">
        <v>2</v>
      </c>
      <c r="E640" s="1">
        <v>2</v>
      </c>
      <c r="F640" s="1"/>
      <c r="G640" s="1"/>
      <c r="H640" s="1"/>
      <c r="I640" s="1"/>
      <c r="J640" s="1"/>
    </row>
    <row r="641" spans="1:10" x14ac:dyDescent="0.3">
      <c r="A641">
        <v>80</v>
      </c>
      <c r="B641" s="1">
        <v>2008</v>
      </c>
      <c r="C641" s="1" t="s">
        <v>0</v>
      </c>
      <c r="D641" s="1">
        <v>2</v>
      </c>
      <c r="E641" s="1">
        <v>2</v>
      </c>
      <c r="F641" s="1"/>
      <c r="G641" s="1"/>
      <c r="H641" s="1"/>
      <c r="I641" s="1"/>
      <c r="J641" s="1"/>
    </row>
    <row r="642" spans="1:10" x14ac:dyDescent="0.3">
      <c r="A642">
        <v>80</v>
      </c>
      <c r="B642" s="1">
        <v>2009</v>
      </c>
      <c r="C642" s="1" t="s">
        <v>0</v>
      </c>
      <c r="D642" s="1">
        <v>6</v>
      </c>
      <c r="E642" s="1">
        <v>5</v>
      </c>
      <c r="F642" s="1">
        <v>1</v>
      </c>
      <c r="G642" s="1"/>
      <c r="H642" s="1"/>
      <c r="I642" s="1"/>
      <c r="J642" s="1"/>
    </row>
    <row r="643" spans="1:10" x14ac:dyDescent="0.3">
      <c r="A643">
        <v>80</v>
      </c>
      <c r="B643" s="1">
        <v>2011</v>
      </c>
      <c r="C643" s="1" t="s">
        <v>0</v>
      </c>
      <c r="D643" s="1">
        <v>4</v>
      </c>
      <c r="E643" s="1">
        <v>3</v>
      </c>
      <c r="F643" s="1">
        <v>1</v>
      </c>
      <c r="G643" s="1"/>
      <c r="H643" s="1"/>
      <c r="I643" s="1"/>
      <c r="J643" s="1"/>
    </row>
    <row r="644" spans="1:10" x14ac:dyDescent="0.3">
      <c r="A644">
        <v>80</v>
      </c>
      <c r="B644" s="1">
        <v>2012</v>
      </c>
      <c r="C644" s="1" t="s">
        <v>0</v>
      </c>
      <c r="D644" s="1">
        <v>4</v>
      </c>
      <c r="E644" s="1">
        <v>3</v>
      </c>
      <c r="F644" s="1">
        <v>1</v>
      </c>
      <c r="G644" s="1"/>
      <c r="H644" s="1"/>
      <c r="I644" s="1"/>
      <c r="J644" s="1"/>
    </row>
    <row r="645" spans="1:10" x14ac:dyDescent="0.3">
      <c r="A645">
        <v>80</v>
      </c>
      <c r="B645" s="1">
        <v>2013</v>
      </c>
      <c r="C645" s="1" t="s">
        <v>0</v>
      </c>
      <c r="D645" s="1">
        <v>3</v>
      </c>
      <c r="E645" s="1">
        <v>3</v>
      </c>
      <c r="F645" s="1"/>
      <c r="G645" s="1"/>
      <c r="H645" s="1"/>
      <c r="I645" s="1"/>
      <c r="J645" s="1"/>
    </row>
    <row r="646" spans="1:10" x14ac:dyDescent="0.3">
      <c r="A646">
        <v>80</v>
      </c>
      <c r="B646" s="1">
        <v>2014</v>
      </c>
      <c r="C646" s="1" t="s">
        <v>0</v>
      </c>
      <c r="D646" s="1">
        <v>10</v>
      </c>
      <c r="E646" s="1">
        <v>9</v>
      </c>
      <c r="F646" s="1">
        <v>1</v>
      </c>
      <c r="G646" s="1"/>
      <c r="H646" s="1"/>
      <c r="I646" s="1"/>
      <c r="J646" s="1"/>
    </row>
    <row r="647" spans="1:10" x14ac:dyDescent="0.3">
      <c r="A647">
        <v>80</v>
      </c>
      <c r="B647" s="1">
        <v>2015</v>
      </c>
      <c r="C647" s="1" t="s">
        <v>0</v>
      </c>
      <c r="D647" s="1">
        <v>5</v>
      </c>
      <c r="E647" s="1">
        <v>1</v>
      </c>
      <c r="F647" s="1">
        <v>4</v>
      </c>
      <c r="G647" s="1"/>
      <c r="H647" s="1"/>
      <c r="I647" s="1"/>
      <c r="J647" s="1"/>
    </row>
    <row r="648" spans="1:10" x14ac:dyDescent="0.3">
      <c r="A648">
        <v>80</v>
      </c>
      <c r="B648" s="1">
        <v>2016</v>
      </c>
      <c r="C648" s="1" t="s">
        <v>0</v>
      </c>
      <c r="D648" s="1">
        <v>8</v>
      </c>
      <c r="E648" s="1">
        <v>4</v>
      </c>
      <c r="F648" s="1">
        <v>4</v>
      </c>
      <c r="G648" s="1"/>
      <c r="H648" s="1"/>
      <c r="I648" s="1"/>
      <c r="J648" s="1"/>
    </row>
    <row r="649" spans="1:10" x14ac:dyDescent="0.3">
      <c r="A649">
        <v>80</v>
      </c>
      <c r="B649" s="1">
        <v>2017</v>
      </c>
      <c r="C649" s="1" t="s">
        <v>0</v>
      </c>
      <c r="D649" s="1">
        <v>4</v>
      </c>
      <c r="E649" s="1">
        <v>3</v>
      </c>
      <c r="F649" s="1">
        <v>1</v>
      </c>
      <c r="G649" s="1"/>
      <c r="H649" s="1"/>
      <c r="I649" s="1"/>
      <c r="J649" s="1"/>
    </row>
    <row r="650" spans="1:10" x14ac:dyDescent="0.3">
      <c r="A650">
        <v>80</v>
      </c>
      <c r="B650" s="1">
        <v>2018</v>
      </c>
      <c r="C650" s="1" t="s">
        <v>0</v>
      </c>
      <c r="D650" s="1">
        <v>2</v>
      </c>
      <c r="E650" s="1">
        <v>1</v>
      </c>
      <c r="F650" s="1">
        <v>1</v>
      </c>
      <c r="G650" s="1"/>
      <c r="H650" s="1"/>
      <c r="I650" s="1"/>
      <c r="J650" s="1"/>
    </row>
    <row r="651" spans="1:10" x14ac:dyDescent="0.3">
      <c r="A651">
        <v>80</v>
      </c>
      <c r="B651" s="1">
        <v>2019</v>
      </c>
      <c r="C651" s="1" t="s">
        <v>0</v>
      </c>
      <c r="D651" s="1">
        <v>4</v>
      </c>
      <c r="E651" s="1">
        <v>3</v>
      </c>
      <c r="F651" s="1">
        <v>1</v>
      </c>
      <c r="G651" s="1"/>
      <c r="H651" s="1"/>
      <c r="I651" s="1"/>
      <c r="J651" s="1"/>
    </row>
    <row r="652" spans="1:10" x14ac:dyDescent="0.3">
      <c r="A652">
        <v>80</v>
      </c>
      <c r="B652" s="1">
        <v>2020</v>
      </c>
      <c r="C652" s="1" t="s">
        <v>0</v>
      </c>
      <c r="D652" s="1">
        <v>5</v>
      </c>
      <c r="E652" s="1">
        <v>4</v>
      </c>
      <c r="F652" s="1">
        <v>1</v>
      </c>
      <c r="G652" s="1"/>
      <c r="H652" s="1"/>
      <c r="I652" s="1"/>
      <c r="J652" s="1"/>
    </row>
    <row r="653" spans="1:10" x14ac:dyDescent="0.3">
      <c r="A653">
        <v>80</v>
      </c>
      <c r="B653" s="1">
        <v>2021</v>
      </c>
      <c r="C653" s="1" t="s">
        <v>0</v>
      </c>
      <c r="D653" s="1">
        <v>3</v>
      </c>
      <c r="E653" s="1">
        <v>1</v>
      </c>
      <c r="F653" s="1">
        <v>2</v>
      </c>
      <c r="G653" s="1"/>
      <c r="H653" s="1"/>
      <c r="I653" s="1"/>
      <c r="J653" s="1"/>
    </row>
    <row r="654" spans="1:10" x14ac:dyDescent="0.3">
      <c r="A654">
        <v>80</v>
      </c>
      <c r="B654" s="1">
        <v>2022</v>
      </c>
      <c r="C654" s="1" t="s">
        <v>0</v>
      </c>
      <c r="D654" s="1">
        <v>7</v>
      </c>
      <c r="E654" s="1">
        <v>5</v>
      </c>
      <c r="F654" s="1">
        <v>2</v>
      </c>
      <c r="G654" s="1"/>
      <c r="H654" s="1"/>
      <c r="I654" s="1"/>
      <c r="J654" s="1"/>
    </row>
    <row r="655" spans="1:10" x14ac:dyDescent="0.3">
      <c r="A655">
        <v>80</v>
      </c>
      <c r="B655" s="1">
        <v>2023</v>
      </c>
      <c r="C655" s="1" t="s">
        <v>0</v>
      </c>
      <c r="D655" s="1">
        <v>4</v>
      </c>
      <c r="E655" s="1">
        <v>2</v>
      </c>
      <c r="F655" s="1">
        <v>2</v>
      </c>
      <c r="G655" s="1"/>
      <c r="H655" s="1"/>
      <c r="I655" s="1"/>
      <c r="J655" s="1"/>
    </row>
    <row r="656" spans="1:10" x14ac:dyDescent="0.3">
      <c r="A656">
        <v>80</v>
      </c>
      <c r="B656" s="1">
        <v>2024</v>
      </c>
      <c r="C656" s="1" t="s">
        <v>0</v>
      </c>
      <c r="D656" s="1">
        <v>5</v>
      </c>
      <c r="E656" s="1">
        <v>4</v>
      </c>
      <c r="F656" s="1">
        <v>1</v>
      </c>
      <c r="G656" s="1"/>
      <c r="H656" s="1"/>
      <c r="I656" s="1"/>
      <c r="J656" s="1"/>
    </row>
    <row r="657" spans="1:10" x14ac:dyDescent="0.3">
      <c r="A657" s="3">
        <v>85</v>
      </c>
      <c r="B657" s="1">
        <v>1990</v>
      </c>
      <c r="C657" s="1" t="s">
        <v>0</v>
      </c>
      <c r="D657" s="1">
        <v>13</v>
      </c>
      <c r="E657" s="1">
        <v>11</v>
      </c>
      <c r="F657" s="1">
        <v>2</v>
      </c>
      <c r="G657" s="1"/>
      <c r="H657" s="1"/>
      <c r="I657" s="1"/>
      <c r="J657" s="1"/>
    </row>
    <row r="658" spans="1:10" x14ac:dyDescent="0.3">
      <c r="A658">
        <v>85</v>
      </c>
      <c r="B658" s="1">
        <v>1991</v>
      </c>
      <c r="C658" s="1" t="s">
        <v>0</v>
      </c>
      <c r="D658" s="1">
        <v>16</v>
      </c>
      <c r="E658" s="1">
        <v>11</v>
      </c>
      <c r="F658" s="1">
        <v>5</v>
      </c>
      <c r="G658" s="1"/>
      <c r="H658" s="1"/>
      <c r="I658" s="1"/>
      <c r="J658" s="1"/>
    </row>
    <row r="659" spans="1:10" x14ac:dyDescent="0.3">
      <c r="A659">
        <v>85</v>
      </c>
      <c r="B659" s="1">
        <v>1992</v>
      </c>
      <c r="C659" s="1" t="s">
        <v>0</v>
      </c>
      <c r="D659" s="1">
        <v>1</v>
      </c>
      <c r="E659" s="1">
        <v>1</v>
      </c>
      <c r="F659" s="1"/>
      <c r="G659" s="1"/>
      <c r="H659" s="1"/>
      <c r="I659" s="1"/>
      <c r="J659" s="1"/>
    </row>
    <row r="660" spans="1:10" x14ac:dyDescent="0.3">
      <c r="A660">
        <v>85</v>
      </c>
      <c r="B660" s="1">
        <v>1993</v>
      </c>
      <c r="C660" s="1" t="s">
        <v>0</v>
      </c>
      <c r="D660" s="1">
        <v>5</v>
      </c>
      <c r="E660" s="1">
        <v>3</v>
      </c>
      <c r="F660" s="1">
        <v>2</v>
      </c>
      <c r="G660" s="1"/>
      <c r="H660" s="1"/>
      <c r="I660" s="1"/>
      <c r="J660" s="1"/>
    </row>
    <row r="661" spans="1:10" x14ac:dyDescent="0.3">
      <c r="A661">
        <v>85</v>
      </c>
      <c r="B661" s="1">
        <v>1994</v>
      </c>
      <c r="C661" s="1" t="s">
        <v>0</v>
      </c>
      <c r="D661" s="1">
        <v>3</v>
      </c>
      <c r="E661" s="1">
        <v>3</v>
      </c>
      <c r="F661" s="1"/>
      <c r="G661" s="1"/>
      <c r="H661" s="1"/>
      <c r="I661" s="1"/>
      <c r="J661" s="1"/>
    </row>
    <row r="662" spans="1:10" x14ac:dyDescent="0.3">
      <c r="A662">
        <v>85</v>
      </c>
      <c r="B662" s="1">
        <v>1995</v>
      </c>
      <c r="C662" s="1" t="s">
        <v>0</v>
      </c>
      <c r="D662" s="1">
        <v>4</v>
      </c>
      <c r="E662" s="1">
        <v>3</v>
      </c>
      <c r="F662" s="1">
        <v>1</v>
      </c>
      <c r="G662" s="1"/>
      <c r="H662" s="1"/>
      <c r="I662" s="1"/>
      <c r="J662" s="1"/>
    </row>
    <row r="663" spans="1:10" x14ac:dyDescent="0.3">
      <c r="A663">
        <v>85</v>
      </c>
      <c r="B663" s="1">
        <v>1996</v>
      </c>
      <c r="C663" s="1" t="s">
        <v>0</v>
      </c>
      <c r="D663" s="1">
        <v>3</v>
      </c>
      <c r="E663" s="1">
        <v>3</v>
      </c>
      <c r="F663" s="1"/>
      <c r="G663" s="1"/>
      <c r="H663" s="1"/>
      <c r="I663" s="1"/>
      <c r="J663" s="1"/>
    </row>
    <row r="664" spans="1:10" x14ac:dyDescent="0.3">
      <c r="A664">
        <v>85</v>
      </c>
      <c r="B664" s="1">
        <v>1997</v>
      </c>
      <c r="C664" s="1" t="s">
        <v>0</v>
      </c>
      <c r="D664" s="1">
        <v>9</v>
      </c>
      <c r="E664" s="1">
        <v>6</v>
      </c>
      <c r="F664" s="1">
        <v>3</v>
      </c>
      <c r="G664" s="1"/>
      <c r="H664" s="1"/>
      <c r="I664" s="1"/>
      <c r="J664" s="1"/>
    </row>
    <row r="665" spans="1:10" x14ac:dyDescent="0.3">
      <c r="A665">
        <v>85</v>
      </c>
      <c r="B665" s="1">
        <v>1998</v>
      </c>
      <c r="C665" s="1" t="s">
        <v>0</v>
      </c>
      <c r="D665" s="1">
        <v>5</v>
      </c>
      <c r="E665" s="1">
        <v>4</v>
      </c>
      <c r="F665" s="1">
        <v>1</v>
      </c>
      <c r="G665" s="1"/>
      <c r="H665" s="1"/>
      <c r="I665" s="1"/>
      <c r="J665" s="1"/>
    </row>
    <row r="666" spans="1:10" x14ac:dyDescent="0.3">
      <c r="A666">
        <v>85</v>
      </c>
      <c r="B666" s="1">
        <v>1999</v>
      </c>
      <c r="C666" s="1" t="s">
        <v>0</v>
      </c>
      <c r="D666" s="1">
        <v>5</v>
      </c>
      <c r="E666" s="1">
        <v>4</v>
      </c>
      <c r="F666" s="1">
        <v>1</v>
      </c>
      <c r="G666" s="1"/>
      <c r="H666" s="1"/>
      <c r="I666" s="1"/>
      <c r="J666" s="1"/>
    </row>
    <row r="667" spans="1:10" x14ac:dyDescent="0.3">
      <c r="A667">
        <v>85</v>
      </c>
      <c r="B667" s="1">
        <v>2001</v>
      </c>
      <c r="C667" s="1" t="s">
        <v>0</v>
      </c>
      <c r="D667" s="1">
        <v>1</v>
      </c>
      <c r="E667" s="1">
        <v>1</v>
      </c>
      <c r="F667" s="1"/>
      <c r="G667" s="1"/>
      <c r="H667" s="1"/>
      <c r="I667" s="1"/>
      <c r="J667" s="1"/>
    </row>
    <row r="668" spans="1:10" x14ac:dyDescent="0.3">
      <c r="A668">
        <v>85</v>
      </c>
      <c r="B668" s="1">
        <v>2002</v>
      </c>
      <c r="C668" s="1" t="s">
        <v>0</v>
      </c>
      <c r="D668" s="1">
        <v>4</v>
      </c>
      <c r="E668" s="1">
        <v>3</v>
      </c>
      <c r="F668" s="1">
        <v>1</v>
      </c>
      <c r="G668" s="1"/>
      <c r="H668" s="1"/>
      <c r="I668" s="1"/>
      <c r="J668" s="1"/>
    </row>
    <row r="669" spans="1:10" x14ac:dyDescent="0.3">
      <c r="A669">
        <v>85</v>
      </c>
      <c r="B669" s="1">
        <v>2003</v>
      </c>
      <c r="C669" s="1" t="s">
        <v>0</v>
      </c>
      <c r="D669" s="1">
        <v>1</v>
      </c>
      <c r="E669" s="1"/>
      <c r="F669" s="1">
        <v>1</v>
      </c>
      <c r="G669" s="1"/>
      <c r="H669" s="1"/>
      <c r="I669" s="1"/>
      <c r="J669" s="1"/>
    </row>
    <row r="670" spans="1:10" x14ac:dyDescent="0.3">
      <c r="A670">
        <v>85</v>
      </c>
      <c r="B670" s="1">
        <v>2004</v>
      </c>
      <c r="C670" s="1" t="s">
        <v>0</v>
      </c>
      <c r="D670" s="1">
        <v>2</v>
      </c>
      <c r="E670" s="1">
        <v>1</v>
      </c>
      <c r="F670" s="1">
        <v>1</v>
      </c>
      <c r="G670" s="1"/>
      <c r="H670" s="1"/>
      <c r="I670" s="1"/>
      <c r="J670" s="1"/>
    </row>
    <row r="671" spans="1:10" x14ac:dyDescent="0.3">
      <c r="A671">
        <v>85</v>
      </c>
      <c r="B671" s="1">
        <v>2005</v>
      </c>
      <c r="C671" s="1" t="s">
        <v>0</v>
      </c>
      <c r="D671" s="1">
        <v>2</v>
      </c>
      <c r="E671" s="1">
        <v>2</v>
      </c>
      <c r="F671" s="1"/>
      <c r="G671" s="1"/>
      <c r="H671" s="1"/>
      <c r="I671" s="1"/>
      <c r="J671" s="1"/>
    </row>
    <row r="672" spans="1:10" x14ac:dyDescent="0.3">
      <c r="A672">
        <v>85</v>
      </c>
      <c r="B672" s="1">
        <v>2006</v>
      </c>
      <c r="C672" s="1" t="s">
        <v>0</v>
      </c>
      <c r="D672" s="1">
        <v>3</v>
      </c>
      <c r="E672" s="1">
        <v>3</v>
      </c>
      <c r="F672" s="1"/>
      <c r="G672" s="1"/>
      <c r="H672" s="1"/>
      <c r="I672" s="1"/>
      <c r="J672" s="1"/>
    </row>
    <row r="673" spans="1:10" x14ac:dyDescent="0.3">
      <c r="A673">
        <v>85</v>
      </c>
      <c r="B673" s="1">
        <v>2007</v>
      </c>
      <c r="C673" s="1" t="s">
        <v>0</v>
      </c>
      <c r="D673" s="1">
        <v>3</v>
      </c>
      <c r="E673" s="1">
        <v>2</v>
      </c>
      <c r="F673" s="1">
        <v>1</v>
      </c>
      <c r="G673" s="1"/>
      <c r="H673" s="1"/>
      <c r="I673" s="1"/>
      <c r="J673" s="1"/>
    </row>
    <row r="674" spans="1:10" x14ac:dyDescent="0.3">
      <c r="A674">
        <v>85</v>
      </c>
      <c r="B674" s="1">
        <v>2008</v>
      </c>
      <c r="C674" s="1" t="s">
        <v>0</v>
      </c>
      <c r="D674" s="1">
        <v>2</v>
      </c>
      <c r="E674" s="1">
        <v>1</v>
      </c>
      <c r="F674" s="1">
        <v>1</v>
      </c>
      <c r="G674" s="1"/>
      <c r="H674" s="1"/>
      <c r="I674" s="1"/>
      <c r="J674" s="1"/>
    </row>
    <row r="675" spans="1:10" x14ac:dyDescent="0.3">
      <c r="A675">
        <v>85</v>
      </c>
      <c r="B675" s="1">
        <v>2009</v>
      </c>
      <c r="C675" s="1" t="s">
        <v>0</v>
      </c>
      <c r="D675" s="1">
        <v>6</v>
      </c>
      <c r="E675" s="1">
        <v>4</v>
      </c>
      <c r="F675" s="1">
        <v>2</v>
      </c>
      <c r="G675" s="1"/>
      <c r="H675" s="1"/>
      <c r="I675" s="1"/>
      <c r="J675" s="1"/>
    </row>
    <row r="676" spans="1:10" x14ac:dyDescent="0.3">
      <c r="A676">
        <v>85</v>
      </c>
      <c r="B676" s="1">
        <v>2010</v>
      </c>
      <c r="C676" s="1" t="s">
        <v>0</v>
      </c>
      <c r="D676" s="1">
        <v>3</v>
      </c>
      <c r="E676" s="1">
        <v>3</v>
      </c>
      <c r="F676" s="1"/>
      <c r="G676" s="1"/>
      <c r="H676" s="1"/>
      <c r="I676" s="1"/>
      <c r="J676" s="1"/>
    </row>
    <row r="677" spans="1:10" x14ac:dyDescent="0.3">
      <c r="A677">
        <v>85</v>
      </c>
      <c r="B677" s="1">
        <v>2011</v>
      </c>
      <c r="C677" s="1" t="s">
        <v>0</v>
      </c>
      <c r="D677" s="1">
        <v>5</v>
      </c>
      <c r="E677" s="1">
        <v>3</v>
      </c>
      <c r="F677" s="1">
        <v>2</v>
      </c>
      <c r="G677" s="1"/>
      <c r="H677" s="1"/>
      <c r="I677" s="1"/>
      <c r="J677" s="1"/>
    </row>
    <row r="678" spans="1:10" x14ac:dyDescent="0.3">
      <c r="A678">
        <v>85</v>
      </c>
      <c r="B678" s="1">
        <v>2012</v>
      </c>
      <c r="C678" s="1" t="s">
        <v>0</v>
      </c>
      <c r="D678" s="1">
        <v>2</v>
      </c>
      <c r="E678" s="1">
        <v>2</v>
      </c>
      <c r="F678" s="1"/>
      <c r="G678" s="1"/>
      <c r="H678" s="1"/>
      <c r="I678" s="1"/>
      <c r="J678" s="1"/>
    </row>
    <row r="679" spans="1:10" x14ac:dyDescent="0.3">
      <c r="A679">
        <v>85</v>
      </c>
      <c r="B679" s="1">
        <v>2013</v>
      </c>
      <c r="C679" s="1" t="s">
        <v>0</v>
      </c>
      <c r="D679" s="1">
        <v>4</v>
      </c>
      <c r="E679" s="1">
        <v>3</v>
      </c>
      <c r="F679" s="1">
        <v>1</v>
      </c>
      <c r="G679" s="1"/>
      <c r="H679" s="1"/>
      <c r="I679" s="1"/>
      <c r="J679" s="1"/>
    </row>
    <row r="680" spans="1:10" x14ac:dyDescent="0.3">
      <c r="A680">
        <v>85</v>
      </c>
      <c r="B680" s="1">
        <v>2014</v>
      </c>
      <c r="C680" s="1" t="s">
        <v>0</v>
      </c>
      <c r="D680" s="1">
        <v>3</v>
      </c>
      <c r="E680" s="1">
        <v>3</v>
      </c>
      <c r="F680" s="1"/>
      <c r="G680" s="1"/>
      <c r="H680" s="1"/>
      <c r="I680" s="1"/>
      <c r="J680" s="1"/>
    </row>
    <row r="681" spans="1:10" x14ac:dyDescent="0.3">
      <c r="A681">
        <v>85</v>
      </c>
      <c r="B681" s="1">
        <v>2015</v>
      </c>
      <c r="C681" s="1" t="s">
        <v>0</v>
      </c>
      <c r="D681" s="1">
        <v>4</v>
      </c>
      <c r="E681" s="1">
        <v>3</v>
      </c>
      <c r="F681" s="1">
        <v>1</v>
      </c>
      <c r="G681" s="1"/>
      <c r="H681" s="1"/>
      <c r="I681" s="1"/>
      <c r="J681" s="1"/>
    </row>
    <row r="682" spans="1:10" x14ac:dyDescent="0.3">
      <c r="A682">
        <v>85</v>
      </c>
      <c r="B682" s="1">
        <v>2016</v>
      </c>
      <c r="C682" s="1" t="s">
        <v>0</v>
      </c>
      <c r="D682" s="1">
        <v>2</v>
      </c>
      <c r="E682" s="1">
        <v>2</v>
      </c>
      <c r="F682" s="1"/>
      <c r="G682" s="1"/>
      <c r="H682" s="1"/>
      <c r="I682" s="1"/>
      <c r="J682" s="1"/>
    </row>
    <row r="683" spans="1:10" x14ac:dyDescent="0.3">
      <c r="A683">
        <v>85</v>
      </c>
      <c r="B683" s="1">
        <v>2017</v>
      </c>
      <c r="C683" s="1" t="s">
        <v>0</v>
      </c>
      <c r="D683" s="1">
        <v>3</v>
      </c>
      <c r="E683" s="1">
        <v>2</v>
      </c>
      <c r="F683" s="1">
        <v>1</v>
      </c>
      <c r="G683" s="1"/>
      <c r="H683" s="1"/>
      <c r="I683" s="1"/>
      <c r="J683" s="1"/>
    </row>
    <row r="684" spans="1:10" x14ac:dyDescent="0.3">
      <c r="A684">
        <v>85</v>
      </c>
      <c r="B684" s="1">
        <v>2018</v>
      </c>
      <c r="C684" s="1" t="s">
        <v>0</v>
      </c>
      <c r="D684" s="1">
        <v>3</v>
      </c>
      <c r="E684" s="1">
        <v>3</v>
      </c>
      <c r="F684" s="1"/>
      <c r="G684" s="1"/>
      <c r="H684" s="1"/>
      <c r="I684" s="1"/>
      <c r="J684" s="1"/>
    </row>
    <row r="685" spans="1:10" x14ac:dyDescent="0.3">
      <c r="A685">
        <v>85</v>
      </c>
      <c r="B685" s="1">
        <v>2019</v>
      </c>
      <c r="C685" s="1" t="s">
        <v>0</v>
      </c>
      <c r="D685" s="1">
        <v>4</v>
      </c>
      <c r="E685" s="1">
        <v>3</v>
      </c>
      <c r="F685" s="1">
        <v>1</v>
      </c>
      <c r="G685" s="1"/>
      <c r="H685" s="1"/>
      <c r="I685" s="1"/>
      <c r="J685" s="1"/>
    </row>
    <row r="686" spans="1:10" x14ac:dyDescent="0.3">
      <c r="A686">
        <v>85</v>
      </c>
      <c r="B686" s="1">
        <v>2021</v>
      </c>
      <c r="C686" s="1" t="s">
        <v>0</v>
      </c>
      <c r="D686" s="1">
        <v>1</v>
      </c>
      <c r="E686" s="1">
        <v>1</v>
      </c>
      <c r="F686" s="1"/>
      <c r="G686" s="1"/>
      <c r="H686" s="1"/>
      <c r="I686" s="1"/>
      <c r="J686" s="1"/>
    </row>
    <row r="687" spans="1:10" x14ac:dyDescent="0.3">
      <c r="A687">
        <v>85</v>
      </c>
      <c r="B687" s="1">
        <v>2022</v>
      </c>
      <c r="C687" s="1" t="s">
        <v>0</v>
      </c>
      <c r="D687" s="1">
        <v>3</v>
      </c>
      <c r="E687" s="1">
        <v>3</v>
      </c>
      <c r="F687" s="1"/>
      <c r="G687" s="1"/>
      <c r="H687" s="1"/>
      <c r="I687" s="1"/>
      <c r="J687" s="1"/>
    </row>
    <row r="688" spans="1:10" x14ac:dyDescent="0.3">
      <c r="A688">
        <v>85</v>
      </c>
      <c r="B688" s="1">
        <v>2023</v>
      </c>
      <c r="C688" s="1" t="s">
        <v>0</v>
      </c>
      <c r="D688" s="1">
        <v>4</v>
      </c>
      <c r="E688" s="1">
        <v>4</v>
      </c>
      <c r="F688" s="1"/>
      <c r="G688" s="1"/>
      <c r="H688" s="1"/>
      <c r="I688" s="1"/>
      <c r="J688" s="1"/>
    </row>
    <row r="689" spans="1:10" x14ac:dyDescent="0.3">
      <c r="A689">
        <v>85</v>
      </c>
      <c r="B689" s="1">
        <v>2024</v>
      </c>
      <c r="C689" s="1" t="s">
        <v>0</v>
      </c>
      <c r="D689" s="1">
        <v>2</v>
      </c>
      <c r="E689" s="1">
        <v>1</v>
      </c>
      <c r="F689" s="1">
        <v>1</v>
      </c>
      <c r="G689" s="1"/>
      <c r="H689" s="1"/>
      <c r="I689" s="1"/>
      <c r="J689" s="1"/>
    </row>
    <row r="690" spans="1:10" x14ac:dyDescent="0.3">
      <c r="A690" t="s">
        <v>3</v>
      </c>
      <c r="B690" s="1">
        <v>1990</v>
      </c>
      <c r="C690" s="1" t="s">
        <v>0</v>
      </c>
      <c r="D690" s="1">
        <v>13</v>
      </c>
      <c r="E690" s="1">
        <v>11</v>
      </c>
      <c r="F690" s="1">
        <v>2</v>
      </c>
      <c r="G690" s="1"/>
      <c r="H690" s="1"/>
      <c r="I690" s="1"/>
      <c r="J690" s="1"/>
    </row>
    <row r="691" spans="1:10" x14ac:dyDescent="0.3">
      <c r="A691" t="s">
        <v>3</v>
      </c>
      <c r="B691" s="1">
        <v>1991</v>
      </c>
      <c r="C691" s="1" t="s">
        <v>0</v>
      </c>
      <c r="D691" s="1">
        <v>9</v>
      </c>
      <c r="E691" s="1">
        <v>9</v>
      </c>
      <c r="F691" s="1"/>
      <c r="G691" s="1"/>
      <c r="H691" s="1"/>
      <c r="I691" s="1"/>
      <c r="J691" s="1"/>
    </row>
    <row r="692" spans="1:10" x14ac:dyDescent="0.3">
      <c r="A692" t="s">
        <v>3</v>
      </c>
      <c r="B692" s="1">
        <v>1992</v>
      </c>
      <c r="C692" s="1" t="s">
        <v>0</v>
      </c>
      <c r="D692" s="1">
        <v>15</v>
      </c>
      <c r="E692" s="1">
        <v>13</v>
      </c>
      <c r="F692" s="1">
        <v>1</v>
      </c>
      <c r="G692" s="1">
        <v>1</v>
      </c>
      <c r="H692" s="1"/>
      <c r="I692" s="1"/>
      <c r="J692" s="1"/>
    </row>
    <row r="693" spans="1:10" x14ac:dyDescent="0.3">
      <c r="A693" t="s">
        <v>3</v>
      </c>
      <c r="B693" s="1">
        <v>1993</v>
      </c>
      <c r="C693" s="1" t="s">
        <v>0</v>
      </c>
      <c r="D693" s="1">
        <v>7</v>
      </c>
      <c r="E693" s="1">
        <v>7</v>
      </c>
      <c r="F693" s="1"/>
      <c r="G693" s="1"/>
      <c r="H693" s="1"/>
      <c r="I693" s="1"/>
      <c r="J693" s="1"/>
    </row>
    <row r="694" spans="1:10" x14ac:dyDescent="0.3">
      <c r="A694" t="s">
        <v>3</v>
      </c>
      <c r="B694" s="1">
        <v>1994</v>
      </c>
      <c r="C694" s="1" t="s">
        <v>0</v>
      </c>
      <c r="D694" s="1">
        <v>17</v>
      </c>
      <c r="E694" s="1">
        <v>15</v>
      </c>
      <c r="F694" s="1">
        <v>2</v>
      </c>
      <c r="G694" s="1"/>
      <c r="H694" s="1"/>
      <c r="I694" s="1"/>
      <c r="J694" s="1"/>
    </row>
    <row r="695" spans="1:10" x14ac:dyDescent="0.3">
      <c r="A695" t="s">
        <v>3</v>
      </c>
      <c r="B695" s="1">
        <v>1995</v>
      </c>
      <c r="C695" s="1" t="s">
        <v>0</v>
      </c>
      <c r="D695" s="1">
        <v>19</v>
      </c>
      <c r="E695" s="1">
        <v>15</v>
      </c>
      <c r="F695" s="1">
        <v>2</v>
      </c>
      <c r="G695" s="1">
        <v>2</v>
      </c>
      <c r="H695" s="1"/>
      <c r="I695" s="1"/>
      <c r="J695" s="1"/>
    </row>
    <row r="696" spans="1:10" x14ac:dyDescent="0.3">
      <c r="A696" t="s">
        <v>3</v>
      </c>
      <c r="B696" s="1">
        <v>1996</v>
      </c>
      <c r="C696" s="1" t="s">
        <v>0</v>
      </c>
      <c r="D696" s="1">
        <v>8</v>
      </c>
      <c r="E696" s="1">
        <v>7</v>
      </c>
      <c r="F696" s="1">
        <v>1</v>
      </c>
      <c r="G696" s="1"/>
      <c r="H696" s="1"/>
      <c r="I696" s="1"/>
      <c r="J696" s="1"/>
    </row>
    <row r="697" spans="1:10" x14ac:dyDescent="0.3">
      <c r="A697" t="s">
        <v>3</v>
      </c>
      <c r="B697" s="1">
        <v>1997</v>
      </c>
      <c r="C697" s="1" t="s">
        <v>0</v>
      </c>
      <c r="D697" s="1">
        <v>10</v>
      </c>
      <c r="E697" s="1">
        <v>9</v>
      </c>
      <c r="F697" s="1">
        <v>1</v>
      </c>
      <c r="G697" s="1"/>
      <c r="H697" s="1"/>
      <c r="I697" s="1"/>
      <c r="J697" s="1"/>
    </row>
    <row r="698" spans="1:10" x14ac:dyDescent="0.3">
      <c r="A698" t="s">
        <v>3</v>
      </c>
      <c r="B698" s="1">
        <v>1998</v>
      </c>
      <c r="C698" s="1" t="s">
        <v>0</v>
      </c>
      <c r="D698" s="1">
        <v>7</v>
      </c>
      <c r="E698" s="1">
        <v>6</v>
      </c>
      <c r="F698" s="1">
        <v>1</v>
      </c>
      <c r="G698" s="1"/>
      <c r="H698" s="1"/>
      <c r="I698" s="1"/>
      <c r="J698" s="1"/>
    </row>
    <row r="699" spans="1:10" x14ac:dyDescent="0.3">
      <c r="A699" t="s">
        <v>3</v>
      </c>
      <c r="B699" s="1">
        <v>1999</v>
      </c>
      <c r="C699" s="1" t="s">
        <v>0</v>
      </c>
      <c r="D699" s="1">
        <v>7</v>
      </c>
      <c r="E699" s="1">
        <v>7</v>
      </c>
      <c r="F699" s="1"/>
      <c r="G699" s="1"/>
      <c r="H699" s="1"/>
      <c r="I699" s="1"/>
      <c r="J699" s="1"/>
    </row>
    <row r="700" spans="1:10" x14ac:dyDescent="0.3">
      <c r="A700" t="s">
        <v>3</v>
      </c>
      <c r="B700" s="1">
        <v>2000</v>
      </c>
      <c r="C700" s="1" t="s">
        <v>0</v>
      </c>
      <c r="D700" s="1">
        <v>7</v>
      </c>
      <c r="E700" s="1">
        <v>6</v>
      </c>
      <c r="F700" s="1">
        <v>1</v>
      </c>
      <c r="G700" s="1"/>
      <c r="H700" s="1"/>
      <c r="I700" s="1"/>
      <c r="J700" s="1"/>
    </row>
    <row r="701" spans="1:10" x14ac:dyDescent="0.3">
      <c r="A701" t="s">
        <v>3</v>
      </c>
      <c r="B701" s="1">
        <v>2001</v>
      </c>
      <c r="C701" s="1" t="s">
        <v>0</v>
      </c>
      <c r="D701" s="1">
        <v>6</v>
      </c>
      <c r="E701" s="1">
        <v>5</v>
      </c>
      <c r="F701" s="1">
        <v>1</v>
      </c>
      <c r="G701" s="1"/>
      <c r="H701" s="1"/>
      <c r="I701" s="1"/>
      <c r="J701" s="1"/>
    </row>
    <row r="702" spans="1:10" x14ac:dyDescent="0.3">
      <c r="A702" t="s">
        <v>3</v>
      </c>
      <c r="B702" s="1">
        <v>2002</v>
      </c>
      <c r="C702" s="1" t="s">
        <v>0</v>
      </c>
      <c r="D702" s="1">
        <v>12</v>
      </c>
      <c r="E702" s="1">
        <v>10</v>
      </c>
      <c r="F702" s="1">
        <v>1</v>
      </c>
      <c r="G702" s="1">
        <v>1</v>
      </c>
      <c r="H702" s="1"/>
      <c r="I702" s="1"/>
      <c r="J702" s="1"/>
    </row>
    <row r="703" spans="1:10" x14ac:dyDescent="0.3">
      <c r="A703" t="s">
        <v>3</v>
      </c>
      <c r="B703" s="1">
        <v>2003</v>
      </c>
      <c r="C703" s="1" t="s">
        <v>0</v>
      </c>
      <c r="D703" s="1">
        <v>7</v>
      </c>
      <c r="E703" s="1">
        <v>6</v>
      </c>
      <c r="F703" s="1">
        <v>1</v>
      </c>
      <c r="G703" s="1"/>
      <c r="H703" s="1"/>
      <c r="I703" s="1"/>
      <c r="J703" s="1"/>
    </row>
    <row r="704" spans="1:10" x14ac:dyDescent="0.3">
      <c r="A704" t="s">
        <v>3</v>
      </c>
      <c r="B704" s="1">
        <v>2004</v>
      </c>
      <c r="C704" s="1" t="s">
        <v>0</v>
      </c>
      <c r="D704" s="1">
        <v>4</v>
      </c>
      <c r="E704" s="1">
        <v>3</v>
      </c>
      <c r="F704" s="1">
        <v>1</v>
      </c>
      <c r="G704" s="1"/>
      <c r="H704" s="1"/>
      <c r="I704" s="1"/>
      <c r="J704" s="1"/>
    </row>
    <row r="705" spans="1:10" x14ac:dyDescent="0.3">
      <c r="A705" t="s">
        <v>3</v>
      </c>
      <c r="B705" s="1">
        <v>2005</v>
      </c>
      <c r="C705" s="1" t="s">
        <v>0</v>
      </c>
      <c r="D705" s="1">
        <v>8</v>
      </c>
      <c r="E705" s="1">
        <v>7</v>
      </c>
      <c r="F705" s="1">
        <v>1</v>
      </c>
      <c r="G705" s="1"/>
      <c r="H705" s="1"/>
      <c r="I705" s="1"/>
      <c r="J705" s="1"/>
    </row>
    <row r="706" spans="1:10" x14ac:dyDescent="0.3">
      <c r="A706" t="s">
        <v>3</v>
      </c>
      <c r="B706" s="1">
        <v>2006</v>
      </c>
      <c r="C706" s="1" t="s">
        <v>0</v>
      </c>
      <c r="D706" s="1">
        <v>12</v>
      </c>
      <c r="E706" s="1">
        <v>10</v>
      </c>
      <c r="F706" s="1">
        <v>2</v>
      </c>
      <c r="G706" s="1"/>
      <c r="H706" s="1"/>
      <c r="I706" s="1"/>
      <c r="J706" s="1"/>
    </row>
    <row r="707" spans="1:10" x14ac:dyDescent="0.3">
      <c r="A707" t="s">
        <v>3</v>
      </c>
      <c r="B707" s="1">
        <v>2007</v>
      </c>
      <c r="C707" s="1" t="s">
        <v>0</v>
      </c>
      <c r="D707" s="1">
        <v>6</v>
      </c>
      <c r="E707" s="1">
        <v>5</v>
      </c>
      <c r="F707" s="1">
        <v>1</v>
      </c>
      <c r="G707" s="1"/>
      <c r="H707" s="1"/>
      <c r="I707" s="1"/>
      <c r="J707" s="1"/>
    </row>
    <row r="708" spans="1:10" x14ac:dyDescent="0.3">
      <c r="A708" t="s">
        <v>3</v>
      </c>
      <c r="B708" s="1">
        <v>2008</v>
      </c>
      <c r="C708" s="1" t="s">
        <v>0</v>
      </c>
      <c r="D708" s="1">
        <v>2</v>
      </c>
      <c r="E708" s="1">
        <v>1</v>
      </c>
      <c r="F708" s="1">
        <v>1</v>
      </c>
      <c r="G708" s="1"/>
      <c r="H708" s="1"/>
      <c r="I708" s="1"/>
      <c r="J708" s="1"/>
    </row>
    <row r="709" spans="1:10" x14ac:dyDescent="0.3">
      <c r="A709" t="s">
        <v>3</v>
      </c>
      <c r="B709" s="1">
        <v>2009</v>
      </c>
      <c r="C709" s="1" t="s">
        <v>0</v>
      </c>
      <c r="D709" s="1">
        <v>22</v>
      </c>
      <c r="E709" s="1">
        <v>18</v>
      </c>
      <c r="F709" s="1">
        <v>3</v>
      </c>
      <c r="G709" s="1">
        <v>1</v>
      </c>
      <c r="H709" s="1"/>
      <c r="I709" s="1"/>
      <c r="J709" s="1"/>
    </row>
    <row r="710" spans="1:10" x14ac:dyDescent="0.3">
      <c r="A710" t="s">
        <v>3</v>
      </c>
      <c r="B710" s="1">
        <v>2010</v>
      </c>
      <c r="C710" s="1" t="s">
        <v>0</v>
      </c>
      <c r="D710" s="1">
        <v>8</v>
      </c>
      <c r="E710" s="1">
        <v>8</v>
      </c>
      <c r="F710" s="1"/>
      <c r="G710" s="1"/>
      <c r="H710" s="1"/>
      <c r="I710" s="1"/>
      <c r="J710" s="1"/>
    </row>
    <row r="711" spans="1:10" x14ac:dyDescent="0.3">
      <c r="A711" t="s">
        <v>3</v>
      </c>
      <c r="B711" s="1">
        <v>2011</v>
      </c>
      <c r="C711" s="1" t="s">
        <v>0</v>
      </c>
      <c r="D711" s="1">
        <v>70</v>
      </c>
      <c r="E711" s="1">
        <v>55</v>
      </c>
      <c r="F711" s="1">
        <v>10</v>
      </c>
      <c r="G711" s="1">
        <v>5</v>
      </c>
      <c r="H711" s="1"/>
      <c r="I711" s="1"/>
      <c r="J711" s="1"/>
    </row>
    <row r="712" spans="1:10" x14ac:dyDescent="0.3">
      <c r="A712" t="s">
        <v>3</v>
      </c>
      <c r="B712" s="1">
        <v>2012</v>
      </c>
      <c r="C712" s="1" t="s">
        <v>0</v>
      </c>
      <c r="D712" s="1">
        <v>134</v>
      </c>
      <c r="E712" s="1">
        <v>103</v>
      </c>
      <c r="F712" s="1">
        <v>18</v>
      </c>
      <c r="G712" s="1">
        <v>13</v>
      </c>
      <c r="H712" s="1"/>
      <c r="I712" s="1"/>
      <c r="J712" s="1"/>
    </row>
    <row r="713" spans="1:10" x14ac:dyDescent="0.3">
      <c r="A713" t="s">
        <v>3</v>
      </c>
      <c r="B713" s="1">
        <v>2013</v>
      </c>
      <c r="C713" s="1" t="s">
        <v>0</v>
      </c>
      <c r="D713" s="1">
        <v>48</v>
      </c>
      <c r="E713" s="1">
        <v>41</v>
      </c>
      <c r="F713" s="1">
        <v>3</v>
      </c>
      <c r="G713" s="1">
        <v>4</v>
      </c>
      <c r="H713" s="1"/>
      <c r="I713" s="1"/>
      <c r="J713" s="1"/>
    </row>
    <row r="714" spans="1:10" x14ac:dyDescent="0.3">
      <c r="A714" t="s">
        <v>3</v>
      </c>
      <c r="B714" s="1">
        <v>2014</v>
      </c>
      <c r="C714" s="1" t="s">
        <v>0</v>
      </c>
      <c r="D714" s="1">
        <v>64</v>
      </c>
      <c r="E714" s="1">
        <v>54</v>
      </c>
      <c r="F714" s="1">
        <v>6</v>
      </c>
      <c r="G714" s="1">
        <v>4</v>
      </c>
      <c r="H714" s="1"/>
      <c r="I714" s="1"/>
      <c r="J714" s="1"/>
    </row>
    <row r="715" spans="1:10" x14ac:dyDescent="0.3">
      <c r="A715" t="s">
        <v>3</v>
      </c>
      <c r="B715" s="1">
        <v>2015</v>
      </c>
      <c r="C715" s="1" t="s">
        <v>0</v>
      </c>
      <c r="D715" s="1">
        <v>63</v>
      </c>
      <c r="E715" s="1">
        <v>55</v>
      </c>
      <c r="F715" s="1">
        <v>6</v>
      </c>
      <c r="G715" s="1">
        <v>2</v>
      </c>
      <c r="H715" s="1"/>
      <c r="I715" s="1"/>
      <c r="J715" s="1"/>
    </row>
    <row r="716" spans="1:10" x14ac:dyDescent="0.3">
      <c r="A716" t="s">
        <v>3</v>
      </c>
      <c r="B716" s="1">
        <v>2016</v>
      </c>
      <c r="C716" s="1" t="s">
        <v>0</v>
      </c>
      <c r="D716" s="1">
        <v>61</v>
      </c>
      <c r="E716" s="1">
        <v>50</v>
      </c>
      <c r="F716" s="1">
        <v>8</v>
      </c>
      <c r="G716" s="1">
        <v>3</v>
      </c>
      <c r="H716" s="1"/>
      <c r="I716" s="1"/>
      <c r="J716" s="1"/>
    </row>
    <row r="717" spans="1:10" x14ac:dyDescent="0.3">
      <c r="A717" t="s">
        <v>3</v>
      </c>
      <c r="B717" s="1">
        <v>2017</v>
      </c>
      <c r="C717" s="1" t="s">
        <v>0</v>
      </c>
      <c r="D717" s="1">
        <v>3</v>
      </c>
      <c r="E717" s="1">
        <v>3</v>
      </c>
      <c r="F717" s="1"/>
      <c r="G717" s="1"/>
      <c r="H717" s="1"/>
      <c r="I717" s="1"/>
      <c r="J717" s="1"/>
    </row>
    <row r="718" spans="1:10" x14ac:dyDescent="0.3">
      <c r="A718" t="s">
        <v>3</v>
      </c>
      <c r="B718" s="1">
        <v>2018</v>
      </c>
      <c r="C718" s="1" t="s">
        <v>0</v>
      </c>
      <c r="D718" s="1">
        <v>2</v>
      </c>
      <c r="E718" s="1">
        <v>2</v>
      </c>
      <c r="F718" s="1"/>
      <c r="G718" s="1"/>
      <c r="H718" s="1"/>
      <c r="I718" s="1"/>
      <c r="J718" s="1"/>
    </row>
    <row r="719" spans="1:10" x14ac:dyDescent="0.3">
      <c r="A719" t="s">
        <v>3</v>
      </c>
      <c r="B719" s="1">
        <v>2019</v>
      </c>
      <c r="C719" s="1" t="s">
        <v>0</v>
      </c>
      <c r="D719" s="1">
        <v>1</v>
      </c>
      <c r="E719" s="1">
        <v>1</v>
      </c>
      <c r="F719" s="1"/>
      <c r="G719" s="1"/>
      <c r="H719" s="1"/>
      <c r="I719" s="1"/>
      <c r="J719" s="1"/>
    </row>
    <row r="720" spans="1:10" x14ac:dyDescent="0.3">
      <c r="A720" t="s">
        <v>3</v>
      </c>
      <c r="B720" s="1">
        <v>2023</v>
      </c>
      <c r="C720" s="1" t="s">
        <v>0</v>
      </c>
      <c r="D720" s="1">
        <v>1</v>
      </c>
      <c r="E720" s="1"/>
      <c r="F720" s="1"/>
      <c r="G720" s="1">
        <v>1</v>
      </c>
      <c r="H720" s="1"/>
      <c r="I720" s="1"/>
      <c r="J720" s="1"/>
    </row>
    <row r="721" spans="1:10" x14ac:dyDescent="0.3">
      <c r="A721" t="s">
        <v>3</v>
      </c>
      <c r="B721" s="1">
        <v>2024</v>
      </c>
      <c r="C721" s="1" t="s">
        <v>0</v>
      </c>
      <c r="D721" s="1">
        <v>1</v>
      </c>
      <c r="E721" s="1">
        <v>1</v>
      </c>
      <c r="F721" s="1"/>
      <c r="G721" s="1"/>
      <c r="H721" s="1"/>
      <c r="I721" s="1"/>
      <c r="J721" s="1"/>
    </row>
    <row r="722" spans="1:10" x14ac:dyDescent="0.3">
      <c r="B722" s="1"/>
      <c r="C722" s="1"/>
      <c r="D722" s="1"/>
      <c r="E722" s="1"/>
      <c r="F722" s="1"/>
      <c r="G722" s="1"/>
      <c r="H722" s="1"/>
      <c r="I722" s="1"/>
      <c r="J722" s="1"/>
    </row>
    <row r="723" spans="1:10" x14ac:dyDescent="0.3">
      <c r="B723" s="1"/>
      <c r="C723" s="1"/>
      <c r="D723" s="1"/>
      <c r="E723" s="1"/>
      <c r="F723" s="1"/>
      <c r="G723" s="1"/>
      <c r="H723" s="1"/>
      <c r="I723" s="1"/>
      <c r="J723" s="1"/>
    </row>
    <row r="724" spans="1:10" x14ac:dyDescent="0.3">
      <c r="B724" s="1"/>
      <c r="C724" s="1"/>
      <c r="D724" s="1"/>
      <c r="E724" s="1"/>
      <c r="F724" s="1"/>
      <c r="G724" s="1"/>
      <c r="H724" s="1"/>
      <c r="I724" s="1"/>
      <c r="J724" s="1"/>
    </row>
    <row r="725" spans="1:10" x14ac:dyDescent="0.3">
      <c r="A725" t="s">
        <v>4</v>
      </c>
      <c r="B725" s="1"/>
      <c r="C725" s="1"/>
      <c r="D725" s="1"/>
      <c r="E725" s="1"/>
      <c r="F725" s="1"/>
      <c r="G725" s="1"/>
      <c r="H725" s="1"/>
      <c r="I725" s="1"/>
      <c r="J725" s="67"/>
    </row>
    <row r="726" spans="1:10" x14ac:dyDescent="0.3">
      <c r="B726" s="1"/>
      <c r="C726" s="1"/>
      <c r="D726" s="1"/>
      <c r="E726" s="1"/>
      <c r="F726" s="1"/>
      <c r="G726" s="1"/>
      <c r="H726" s="1"/>
      <c r="I726" s="1"/>
      <c r="J726" s="1"/>
    </row>
  </sheetData>
  <mergeCells count="5">
    <mergeCell ref="J2"/>
    <mergeCell ref="J3"/>
    <mergeCell ref="J4"/>
    <mergeCell ref="J725"/>
    <mergeCell ref="A1:Q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4E081-08A4-4CEA-B113-B336DF681A20}">
  <dimension ref="A1:E25"/>
  <sheetViews>
    <sheetView workbookViewId="0">
      <selection activeCell="G16" sqref="G16"/>
    </sheetView>
  </sheetViews>
  <sheetFormatPr baseColWidth="10" defaultRowHeight="14.4" x14ac:dyDescent="0.3"/>
  <cols>
    <col min="1" max="1" width="16.5546875" bestFit="1" customWidth="1"/>
    <col min="2" max="2" width="15.5546875" bestFit="1" customWidth="1"/>
    <col min="3" max="3" width="13.88671875" bestFit="1" customWidth="1"/>
    <col min="4" max="4" width="28" bestFit="1" customWidth="1"/>
    <col min="5" max="5" width="21.21875" bestFit="1" customWidth="1"/>
  </cols>
  <sheetData>
    <row r="1" spans="1:5" x14ac:dyDescent="0.3">
      <c r="A1" s="5" t="s">
        <v>6</v>
      </c>
      <c r="B1" s="7">
        <v>2019</v>
      </c>
    </row>
    <row r="3" spans="1:5" x14ac:dyDescent="0.3">
      <c r="A3" s="5" t="s">
        <v>10</v>
      </c>
      <c r="B3" t="s">
        <v>12</v>
      </c>
      <c r="C3" t="s">
        <v>13</v>
      </c>
      <c r="D3" t="s">
        <v>14</v>
      </c>
      <c r="E3" t="s">
        <v>15</v>
      </c>
    </row>
    <row r="4" spans="1:5" x14ac:dyDescent="0.3">
      <c r="A4" s="6">
        <v>0</v>
      </c>
      <c r="B4">
        <v>2</v>
      </c>
      <c r="E4">
        <v>2</v>
      </c>
    </row>
    <row r="5" spans="1:5" x14ac:dyDescent="0.3">
      <c r="A5" s="6">
        <v>1</v>
      </c>
      <c r="B5">
        <v>4</v>
      </c>
      <c r="E5">
        <v>4</v>
      </c>
    </row>
    <row r="6" spans="1:5" x14ac:dyDescent="0.3">
      <c r="A6" s="6">
        <v>5</v>
      </c>
      <c r="B6">
        <v>1</v>
      </c>
      <c r="E6">
        <v>1</v>
      </c>
    </row>
    <row r="7" spans="1:5" x14ac:dyDescent="0.3">
      <c r="A7" s="6">
        <v>10</v>
      </c>
      <c r="B7">
        <v>8</v>
      </c>
      <c r="C7">
        <v>4</v>
      </c>
      <c r="E7">
        <v>12</v>
      </c>
    </row>
    <row r="8" spans="1:5" x14ac:dyDescent="0.3">
      <c r="A8" s="6">
        <v>15</v>
      </c>
      <c r="B8">
        <v>70</v>
      </c>
      <c r="C8">
        <v>14</v>
      </c>
      <c r="E8">
        <v>84</v>
      </c>
    </row>
    <row r="9" spans="1:5" x14ac:dyDescent="0.3">
      <c r="A9" s="6">
        <v>20</v>
      </c>
      <c r="B9">
        <v>189</v>
      </c>
      <c r="C9">
        <v>22</v>
      </c>
      <c r="E9">
        <v>211</v>
      </c>
    </row>
    <row r="10" spans="1:5" x14ac:dyDescent="0.3">
      <c r="A10" s="6">
        <v>25</v>
      </c>
      <c r="B10">
        <v>220</v>
      </c>
      <c r="C10">
        <v>28</v>
      </c>
      <c r="E10">
        <v>248</v>
      </c>
    </row>
    <row r="11" spans="1:5" x14ac:dyDescent="0.3">
      <c r="A11" s="6">
        <v>30</v>
      </c>
      <c r="B11">
        <v>194</v>
      </c>
      <c r="C11">
        <v>21</v>
      </c>
      <c r="E11">
        <v>215</v>
      </c>
    </row>
    <row r="12" spans="1:5" x14ac:dyDescent="0.3">
      <c r="A12" s="6">
        <v>35</v>
      </c>
      <c r="B12">
        <v>156</v>
      </c>
      <c r="C12">
        <v>16</v>
      </c>
      <c r="E12">
        <v>172</v>
      </c>
    </row>
    <row r="13" spans="1:5" x14ac:dyDescent="0.3">
      <c r="A13" s="6">
        <v>40</v>
      </c>
      <c r="B13">
        <v>125</v>
      </c>
      <c r="C13">
        <v>23</v>
      </c>
      <c r="E13">
        <v>148</v>
      </c>
    </row>
    <row r="14" spans="1:5" x14ac:dyDescent="0.3">
      <c r="A14" s="6">
        <v>45</v>
      </c>
      <c r="B14">
        <v>116</v>
      </c>
      <c r="C14">
        <v>8</v>
      </c>
      <c r="E14">
        <v>124</v>
      </c>
    </row>
    <row r="15" spans="1:5" x14ac:dyDescent="0.3">
      <c r="A15" s="6">
        <v>50</v>
      </c>
      <c r="B15">
        <v>79</v>
      </c>
      <c r="C15">
        <v>7</v>
      </c>
      <c r="E15">
        <v>86</v>
      </c>
    </row>
    <row r="16" spans="1:5" x14ac:dyDescent="0.3">
      <c r="A16" s="6">
        <v>55</v>
      </c>
      <c r="B16">
        <v>51</v>
      </c>
      <c r="C16">
        <v>7</v>
      </c>
      <c r="E16">
        <v>58</v>
      </c>
    </row>
    <row r="17" spans="1:5" x14ac:dyDescent="0.3">
      <c r="A17" s="6">
        <v>60</v>
      </c>
      <c r="B17">
        <v>32</v>
      </c>
      <c r="C17">
        <v>4</v>
      </c>
      <c r="E17">
        <v>36</v>
      </c>
    </row>
    <row r="18" spans="1:5" x14ac:dyDescent="0.3">
      <c r="A18" s="6">
        <v>65</v>
      </c>
      <c r="B18">
        <v>24</v>
      </c>
      <c r="C18">
        <v>6</v>
      </c>
      <c r="E18">
        <v>30</v>
      </c>
    </row>
    <row r="19" spans="1:5" x14ac:dyDescent="0.3">
      <c r="A19" s="6">
        <v>70</v>
      </c>
      <c r="B19">
        <v>18</v>
      </c>
      <c r="C19">
        <v>3</v>
      </c>
      <c r="E19">
        <v>21</v>
      </c>
    </row>
    <row r="20" spans="1:5" x14ac:dyDescent="0.3">
      <c r="A20" s="6">
        <v>75</v>
      </c>
      <c r="B20">
        <v>7</v>
      </c>
      <c r="C20">
        <v>2</v>
      </c>
      <c r="E20">
        <v>9</v>
      </c>
    </row>
    <row r="21" spans="1:5" x14ac:dyDescent="0.3">
      <c r="A21" s="6">
        <v>80</v>
      </c>
      <c r="B21">
        <v>3</v>
      </c>
      <c r="C21">
        <v>1</v>
      </c>
      <c r="E21">
        <v>4</v>
      </c>
    </row>
    <row r="22" spans="1:5" x14ac:dyDescent="0.3">
      <c r="A22" s="6">
        <v>85</v>
      </c>
      <c r="B22">
        <v>3</v>
      </c>
      <c r="C22">
        <v>1</v>
      </c>
      <c r="E22">
        <v>4</v>
      </c>
    </row>
    <row r="23" spans="1:5" x14ac:dyDescent="0.3">
      <c r="A23" s="6" t="s">
        <v>3</v>
      </c>
      <c r="B23">
        <v>1</v>
      </c>
      <c r="E23">
        <v>1</v>
      </c>
    </row>
    <row r="24" spans="1:5" x14ac:dyDescent="0.3">
      <c r="A24" s="6" t="s">
        <v>0</v>
      </c>
      <c r="B24">
        <v>1303</v>
      </c>
      <c r="C24">
        <v>167</v>
      </c>
      <c r="E24">
        <v>1470</v>
      </c>
    </row>
    <row r="25" spans="1:5" x14ac:dyDescent="0.3">
      <c r="A25" s="6" t="s">
        <v>11</v>
      </c>
      <c r="B25">
        <v>2606</v>
      </c>
      <c r="C25">
        <v>334</v>
      </c>
      <c r="E25">
        <v>2940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CE408-BB38-43B6-9625-C4092AC9C4E5}">
  <dimension ref="A1:M44"/>
  <sheetViews>
    <sheetView workbookViewId="0"/>
  </sheetViews>
  <sheetFormatPr baseColWidth="10" defaultRowHeight="14.4" x14ac:dyDescent="0.3"/>
  <sheetData>
    <row r="1" spans="1:13" x14ac:dyDescent="0.3">
      <c r="A1" s="3" t="s">
        <v>5</v>
      </c>
      <c r="B1" s="4" t="s">
        <v>1</v>
      </c>
      <c r="C1" s="4" t="s">
        <v>2</v>
      </c>
      <c r="D1" s="4" t="s">
        <v>16</v>
      </c>
      <c r="E1" s="4" t="s">
        <v>17</v>
      </c>
      <c r="F1" s="1"/>
      <c r="G1" s="4"/>
      <c r="H1" s="4" t="s">
        <v>1</v>
      </c>
      <c r="I1" s="4" t="s">
        <v>2</v>
      </c>
      <c r="K1" s="3" t="s">
        <v>18</v>
      </c>
      <c r="L1" s="4" t="s">
        <v>1</v>
      </c>
      <c r="M1" s="4" t="s">
        <v>2</v>
      </c>
    </row>
    <row r="2" spans="1:13" x14ac:dyDescent="0.3">
      <c r="A2">
        <v>0</v>
      </c>
      <c r="B2">
        <v>2</v>
      </c>
      <c r="E2">
        <v>2</v>
      </c>
      <c r="G2">
        <v>0</v>
      </c>
      <c r="H2">
        <f>B2 * (E2 / (B2 + C2))</f>
        <v>2</v>
      </c>
      <c r="I2">
        <f>C2 * (E2 / (B2 + C2))</f>
        <v>0</v>
      </c>
      <c r="K2">
        <v>0</v>
      </c>
      <c r="L2">
        <f>H2+(H$2/SUM(H$2:H$20)*H$21)</f>
        <v>2.0320739140362893</v>
      </c>
      <c r="M2">
        <f>I2+(I2/SUM(I$2:I$20)*I$21)</f>
        <v>0</v>
      </c>
    </row>
    <row r="3" spans="1:13" x14ac:dyDescent="0.3">
      <c r="A3">
        <v>1</v>
      </c>
      <c r="B3">
        <v>1</v>
      </c>
      <c r="C3">
        <v>2</v>
      </c>
      <c r="E3">
        <v>3</v>
      </c>
      <c r="G3">
        <v>1</v>
      </c>
      <c r="H3">
        <f t="shared" ref="H3:H21" si="0">B3 * (E3 / (B3 + C3))</f>
        <v>1</v>
      </c>
      <c r="I3">
        <f t="shared" ref="I3:I21" si="1">C3 * (E3 / (B3 + C3))</f>
        <v>2</v>
      </c>
      <c r="K3">
        <v>1</v>
      </c>
      <c r="L3">
        <f t="shared" ref="L3:L20" si="2">H3+(H3/SUM(H$2:H$20)*H$21)</f>
        <v>1.0160369570181447</v>
      </c>
      <c r="M3">
        <f t="shared" ref="M3:M20" si="3">I3+(I3/SUM(I$2:I$20)*I$21)</f>
        <v>2.0665730900340886</v>
      </c>
    </row>
    <row r="4" spans="1:13" x14ac:dyDescent="0.3">
      <c r="A4">
        <v>5</v>
      </c>
      <c r="B4">
        <v>9</v>
      </c>
      <c r="C4">
        <v>1</v>
      </c>
      <c r="E4">
        <v>10</v>
      </c>
      <c r="G4">
        <v>5</v>
      </c>
      <c r="H4">
        <f t="shared" si="0"/>
        <v>9</v>
      </c>
      <c r="I4">
        <f t="shared" si="1"/>
        <v>1</v>
      </c>
      <c r="K4">
        <v>5</v>
      </c>
      <c r="L4">
        <f t="shared" si="2"/>
        <v>9.1443326131633036</v>
      </c>
      <c r="M4">
        <f t="shared" si="3"/>
        <v>1.0332865450170443</v>
      </c>
    </row>
    <row r="5" spans="1:13" x14ac:dyDescent="0.3">
      <c r="A5">
        <v>10</v>
      </c>
      <c r="B5">
        <v>5</v>
      </c>
      <c r="C5">
        <v>3</v>
      </c>
      <c r="E5">
        <v>8</v>
      </c>
      <c r="G5">
        <v>10</v>
      </c>
      <c r="H5">
        <f t="shared" si="0"/>
        <v>5</v>
      </c>
      <c r="I5">
        <f t="shared" si="1"/>
        <v>3</v>
      </c>
      <c r="K5">
        <v>10</v>
      </c>
      <c r="L5">
        <f t="shared" si="2"/>
        <v>5.080184785090724</v>
      </c>
      <c r="M5">
        <f t="shared" si="3"/>
        <v>3.0998596350511329</v>
      </c>
    </row>
    <row r="6" spans="1:13" x14ac:dyDescent="0.3">
      <c r="A6">
        <v>15</v>
      </c>
      <c r="B6">
        <v>48</v>
      </c>
      <c r="C6">
        <v>4</v>
      </c>
      <c r="E6">
        <v>52</v>
      </c>
      <c r="G6">
        <v>15</v>
      </c>
      <c r="H6">
        <f t="shared" si="0"/>
        <v>48</v>
      </c>
      <c r="I6">
        <f t="shared" si="1"/>
        <v>4</v>
      </c>
      <c r="K6">
        <v>15</v>
      </c>
      <c r="L6">
        <f t="shared" si="2"/>
        <v>48.769773936870948</v>
      </c>
      <c r="M6">
        <f t="shared" si="3"/>
        <v>4.1331461800681772</v>
      </c>
    </row>
    <row r="7" spans="1:13" x14ac:dyDescent="0.3">
      <c r="A7">
        <v>20</v>
      </c>
      <c r="B7">
        <v>94</v>
      </c>
      <c r="C7">
        <v>7</v>
      </c>
      <c r="E7">
        <v>101</v>
      </c>
      <c r="G7">
        <v>20</v>
      </c>
      <c r="H7">
        <f t="shared" si="0"/>
        <v>94</v>
      </c>
      <c r="I7">
        <f t="shared" si="1"/>
        <v>7</v>
      </c>
      <c r="K7">
        <v>20</v>
      </c>
      <c r="L7">
        <f t="shared" si="2"/>
        <v>95.507473959705607</v>
      </c>
      <c r="M7">
        <f t="shared" si="3"/>
        <v>7.2330058151193102</v>
      </c>
    </row>
    <row r="8" spans="1:13" x14ac:dyDescent="0.3">
      <c r="A8">
        <v>25</v>
      </c>
      <c r="B8">
        <v>102</v>
      </c>
      <c r="C8">
        <v>11</v>
      </c>
      <c r="E8">
        <v>113</v>
      </c>
      <c r="G8">
        <v>25</v>
      </c>
      <c r="H8">
        <f>B8 * (E8 / (B8 + C8))</f>
        <v>102</v>
      </c>
      <c r="I8">
        <f t="shared" si="1"/>
        <v>11</v>
      </c>
      <c r="K8">
        <v>25</v>
      </c>
      <c r="L8">
        <f t="shared" si="2"/>
        <v>103.63576961585076</v>
      </c>
      <c r="M8">
        <f t="shared" si="3"/>
        <v>11.366151995187488</v>
      </c>
    </row>
    <row r="9" spans="1:13" x14ac:dyDescent="0.3">
      <c r="A9">
        <v>30</v>
      </c>
      <c r="B9">
        <v>76</v>
      </c>
      <c r="C9">
        <v>7</v>
      </c>
      <c r="D9">
        <v>1</v>
      </c>
      <c r="E9">
        <v>84</v>
      </c>
      <c r="G9">
        <v>30</v>
      </c>
      <c r="H9">
        <f>B9 * (E9 / (B9 + C9))</f>
        <v>76.9156626506024</v>
      </c>
      <c r="I9">
        <f t="shared" si="1"/>
        <v>7.0843373493975896</v>
      </c>
      <c r="K9">
        <v>30</v>
      </c>
      <c r="L9">
        <f t="shared" si="2"/>
        <v>78.149155826552231</v>
      </c>
      <c r="M9">
        <f t="shared" si="3"/>
        <v>7.3201504634942411</v>
      </c>
    </row>
    <row r="10" spans="1:13" x14ac:dyDescent="0.3">
      <c r="A10">
        <v>35</v>
      </c>
      <c r="B10">
        <v>86</v>
      </c>
      <c r="C10">
        <v>4</v>
      </c>
      <c r="E10">
        <v>90</v>
      </c>
      <c r="G10">
        <v>35</v>
      </c>
      <c r="H10">
        <f t="shared" si="0"/>
        <v>86</v>
      </c>
      <c r="I10">
        <f t="shared" si="1"/>
        <v>4</v>
      </c>
      <c r="K10">
        <v>35</v>
      </c>
      <c r="L10">
        <f t="shared" si="2"/>
        <v>87.379178303560451</v>
      </c>
      <c r="M10">
        <f t="shared" si="3"/>
        <v>4.1331461800681772</v>
      </c>
    </row>
    <row r="11" spans="1:13" x14ac:dyDescent="0.3">
      <c r="A11">
        <v>40</v>
      </c>
      <c r="B11">
        <v>66</v>
      </c>
      <c r="C11">
        <v>1</v>
      </c>
      <c r="E11">
        <v>67</v>
      </c>
      <c r="G11">
        <v>40</v>
      </c>
      <c r="H11">
        <f t="shared" si="0"/>
        <v>66</v>
      </c>
      <c r="I11">
        <f t="shared" si="1"/>
        <v>1</v>
      </c>
      <c r="K11">
        <v>40</v>
      </c>
      <c r="L11">
        <f t="shared" si="2"/>
        <v>67.058439163197562</v>
      </c>
      <c r="M11">
        <f t="shared" si="3"/>
        <v>1.0332865450170443</v>
      </c>
    </row>
    <row r="12" spans="1:13" x14ac:dyDescent="0.3">
      <c r="A12">
        <v>45</v>
      </c>
      <c r="B12">
        <v>50</v>
      </c>
      <c r="C12">
        <v>5</v>
      </c>
      <c r="E12">
        <v>55</v>
      </c>
      <c r="G12">
        <v>45</v>
      </c>
      <c r="H12">
        <f t="shared" si="0"/>
        <v>50</v>
      </c>
      <c r="I12">
        <f t="shared" si="1"/>
        <v>5</v>
      </c>
      <c r="K12">
        <v>45</v>
      </c>
      <c r="L12">
        <f t="shared" si="2"/>
        <v>50.801847850907237</v>
      </c>
      <c r="M12">
        <f t="shared" si="3"/>
        <v>5.1664327250852216</v>
      </c>
    </row>
    <row r="13" spans="1:13" x14ac:dyDescent="0.3">
      <c r="A13">
        <v>50</v>
      </c>
      <c r="B13">
        <v>43</v>
      </c>
      <c r="C13">
        <v>4</v>
      </c>
      <c r="E13">
        <v>47</v>
      </c>
      <c r="G13">
        <v>50</v>
      </c>
      <c r="H13">
        <f t="shared" si="0"/>
        <v>43</v>
      </c>
      <c r="I13">
        <f t="shared" si="1"/>
        <v>4</v>
      </c>
      <c r="J13" s="6"/>
      <c r="K13">
        <v>50</v>
      </c>
      <c r="L13">
        <f t="shared" si="2"/>
        <v>43.689589151780226</v>
      </c>
      <c r="M13">
        <f t="shared" si="3"/>
        <v>4.1331461800681772</v>
      </c>
    </row>
    <row r="14" spans="1:13" x14ac:dyDescent="0.3">
      <c r="A14">
        <v>55</v>
      </c>
      <c r="B14">
        <v>29</v>
      </c>
      <c r="C14">
        <v>1</v>
      </c>
      <c r="E14">
        <v>30</v>
      </c>
      <c r="G14">
        <v>55</v>
      </c>
      <c r="H14">
        <f t="shared" si="0"/>
        <v>29</v>
      </c>
      <c r="I14">
        <f t="shared" si="1"/>
        <v>1</v>
      </c>
      <c r="J14" s="6"/>
      <c r="K14">
        <v>55</v>
      </c>
      <c r="L14">
        <f t="shared" si="2"/>
        <v>29.4650717535262</v>
      </c>
      <c r="M14">
        <f t="shared" si="3"/>
        <v>1.0332865450170443</v>
      </c>
    </row>
    <row r="15" spans="1:13" x14ac:dyDescent="0.3">
      <c r="A15">
        <v>60</v>
      </c>
      <c r="B15">
        <v>27</v>
      </c>
      <c r="C15">
        <v>3</v>
      </c>
      <c r="E15">
        <v>30</v>
      </c>
      <c r="G15">
        <v>60</v>
      </c>
      <c r="H15">
        <f t="shared" si="0"/>
        <v>27</v>
      </c>
      <c r="I15">
        <f t="shared" si="1"/>
        <v>3</v>
      </c>
      <c r="J15" s="6"/>
      <c r="K15">
        <v>60</v>
      </c>
      <c r="L15">
        <f t="shared" si="2"/>
        <v>27.432997839489907</v>
      </c>
      <c r="M15">
        <f t="shared" si="3"/>
        <v>3.0998596350511329</v>
      </c>
    </row>
    <row r="16" spans="1:13" x14ac:dyDescent="0.3">
      <c r="A16">
        <v>65</v>
      </c>
      <c r="B16">
        <v>12</v>
      </c>
      <c r="C16">
        <v>1</v>
      </c>
      <c r="E16">
        <v>13</v>
      </c>
      <c r="G16">
        <v>65</v>
      </c>
      <c r="H16">
        <f t="shared" si="0"/>
        <v>12</v>
      </c>
      <c r="I16">
        <f t="shared" si="1"/>
        <v>1</v>
      </c>
      <c r="J16" s="6"/>
      <c r="K16">
        <v>65</v>
      </c>
      <c r="L16">
        <f t="shared" si="2"/>
        <v>12.192443484217737</v>
      </c>
      <c r="M16">
        <f t="shared" si="3"/>
        <v>1.0332865450170443</v>
      </c>
    </row>
    <row r="17" spans="1:13" x14ac:dyDescent="0.3">
      <c r="A17">
        <v>70</v>
      </c>
      <c r="B17">
        <v>8</v>
      </c>
      <c r="C17">
        <v>2</v>
      </c>
      <c r="E17">
        <v>10</v>
      </c>
      <c r="G17">
        <v>70</v>
      </c>
      <c r="H17">
        <f t="shared" si="0"/>
        <v>8</v>
      </c>
      <c r="I17">
        <f t="shared" si="1"/>
        <v>2</v>
      </c>
      <c r="J17" s="6"/>
      <c r="K17">
        <v>70</v>
      </c>
      <c r="L17">
        <f t="shared" si="2"/>
        <v>8.1282956561451574</v>
      </c>
      <c r="M17">
        <f t="shared" si="3"/>
        <v>2.0665730900340886</v>
      </c>
    </row>
    <row r="18" spans="1:13" x14ac:dyDescent="0.3">
      <c r="A18">
        <v>75</v>
      </c>
      <c r="B18">
        <v>11</v>
      </c>
      <c r="C18">
        <v>2</v>
      </c>
      <c r="E18">
        <v>13</v>
      </c>
      <c r="G18">
        <v>75</v>
      </c>
      <c r="H18">
        <f t="shared" si="0"/>
        <v>11</v>
      </c>
      <c r="I18">
        <f t="shared" si="1"/>
        <v>2</v>
      </c>
      <c r="J18" s="6"/>
      <c r="K18">
        <v>75</v>
      </c>
      <c r="L18">
        <f t="shared" si="2"/>
        <v>11.176406527199592</v>
      </c>
      <c r="M18">
        <f t="shared" si="3"/>
        <v>2.0665730900340886</v>
      </c>
    </row>
    <row r="19" spans="1:13" x14ac:dyDescent="0.3">
      <c r="A19">
        <v>80</v>
      </c>
      <c r="B19">
        <v>5</v>
      </c>
      <c r="E19">
        <v>5</v>
      </c>
      <c r="G19">
        <v>80</v>
      </c>
      <c r="H19">
        <f t="shared" si="0"/>
        <v>5</v>
      </c>
      <c r="I19">
        <f t="shared" si="1"/>
        <v>0</v>
      </c>
      <c r="J19" s="6"/>
      <c r="K19">
        <v>80</v>
      </c>
      <c r="L19">
        <f t="shared" si="2"/>
        <v>5.080184785090724</v>
      </c>
      <c r="M19">
        <f t="shared" si="3"/>
        <v>0</v>
      </c>
    </row>
    <row r="20" spans="1:13" x14ac:dyDescent="0.3">
      <c r="A20">
        <v>85</v>
      </c>
      <c r="B20">
        <v>11</v>
      </c>
      <c r="C20">
        <v>2</v>
      </c>
      <c r="E20">
        <v>13</v>
      </c>
      <c r="G20">
        <v>85</v>
      </c>
      <c r="H20">
        <f t="shared" si="0"/>
        <v>11</v>
      </c>
      <c r="I20">
        <f t="shared" si="1"/>
        <v>2</v>
      </c>
      <c r="J20" s="6"/>
      <c r="K20">
        <v>85</v>
      </c>
      <c r="L20">
        <f t="shared" si="2"/>
        <v>11.176406527199592</v>
      </c>
      <c r="M20">
        <f t="shared" si="3"/>
        <v>2.0665730900340886</v>
      </c>
    </row>
    <row r="21" spans="1:13" x14ac:dyDescent="0.3">
      <c r="A21" t="s">
        <v>3</v>
      </c>
      <c r="B21">
        <v>11</v>
      </c>
      <c r="C21">
        <v>2</v>
      </c>
      <c r="E21">
        <v>13</v>
      </c>
      <c r="G21" t="s">
        <v>3</v>
      </c>
      <c r="H21">
        <f t="shared" si="0"/>
        <v>11</v>
      </c>
      <c r="I21">
        <f t="shared" si="1"/>
        <v>2</v>
      </c>
      <c r="J21" s="6"/>
    </row>
    <row r="22" spans="1:13" x14ac:dyDescent="0.3">
      <c r="J22" s="6"/>
    </row>
    <row r="23" spans="1:13" x14ac:dyDescent="0.3">
      <c r="A23" s="3" t="s">
        <v>24</v>
      </c>
      <c r="B23" s="3" t="s">
        <v>25</v>
      </c>
      <c r="C23" s="3" t="s">
        <v>0</v>
      </c>
      <c r="E23" s="3" t="s">
        <v>24</v>
      </c>
      <c r="F23" s="3" t="s">
        <v>25</v>
      </c>
      <c r="G23" s="3" t="s">
        <v>0</v>
      </c>
      <c r="J23" s="6"/>
    </row>
    <row r="24" spans="1:13" x14ac:dyDescent="0.3">
      <c r="A24">
        <v>2</v>
      </c>
      <c r="C24">
        <v>2</v>
      </c>
      <c r="E24">
        <v>0</v>
      </c>
      <c r="F24">
        <f>A24+(A24/SUM(A$24:A$42)*A$43)</f>
        <v>2.0015360983102917</v>
      </c>
      <c r="G24">
        <f>B24+(B24/SUM(B$24:B$42)*B$43)</f>
        <v>0</v>
      </c>
      <c r="J24" s="6"/>
    </row>
    <row r="25" spans="1:13" x14ac:dyDescent="0.3">
      <c r="A25">
        <v>4</v>
      </c>
      <c r="C25">
        <v>4</v>
      </c>
      <c r="E25">
        <v>1</v>
      </c>
      <c r="F25">
        <f t="shared" ref="F25:F42" si="4">A25+(A25/SUM(A$24:A$42)*A$43)</f>
        <v>4.0030721966205833</v>
      </c>
      <c r="G25">
        <f t="shared" ref="G25:G42" si="5">B25+(B25/SUM(B$24:B$42)*B$43)</f>
        <v>0</v>
      </c>
      <c r="J25" s="6"/>
    </row>
    <row r="26" spans="1:13" x14ac:dyDescent="0.3">
      <c r="A26">
        <v>1</v>
      </c>
      <c r="C26">
        <v>1</v>
      </c>
      <c r="E26">
        <v>5</v>
      </c>
      <c r="F26">
        <f t="shared" si="4"/>
        <v>1.0007680491551458</v>
      </c>
      <c r="G26">
        <f t="shared" si="5"/>
        <v>0</v>
      </c>
      <c r="J26" s="6"/>
    </row>
    <row r="27" spans="1:13" x14ac:dyDescent="0.3">
      <c r="A27">
        <v>8</v>
      </c>
      <c r="B27">
        <v>4</v>
      </c>
      <c r="C27">
        <v>12</v>
      </c>
      <c r="E27">
        <v>10</v>
      </c>
      <c r="F27">
        <f t="shared" si="4"/>
        <v>8.0061443932411667</v>
      </c>
      <c r="G27">
        <f t="shared" si="5"/>
        <v>4</v>
      </c>
      <c r="J27" s="6"/>
    </row>
    <row r="28" spans="1:13" x14ac:dyDescent="0.3">
      <c r="A28">
        <v>70</v>
      </c>
      <c r="B28">
        <v>14</v>
      </c>
      <c r="C28">
        <v>84</v>
      </c>
      <c r="E28">
        <v>15</v>
      </c>
      <c r="F28">
        <f t="shared" si="4"/>
        <v>70.053763440860209</v>
      </c>
      <c r="G28">
        <f t="shared" si="5"/>
        <v>14</v>
      </c>
      <c r="J28" s="6"/>
    </row>
    <row r="29" spans="1:13" x14ac:dyDescent="0.3">
      <c r="A29">
        <v>189</v>
      </c>
      <c r="B29">
        <v>22</v>
      </c>
      <c r="C29">
        <v>211</v>
      </c>
      <c r="E29">
        <v>20</v>
      </c>
      <c r="F29">
        <f t="shared" si="4"/>
        <v>189.14516129032259</v>
      </c>
      <c r="G29">
        <f t="shared" si="5"/>
        <v>22</v>
      </c>
      <c r="J29" s="6"/>
    </row>
    <row r="30" spans="1:13" x14ac:dyDescent="0.3">
      <c r="A30">
        <v>220</v>
      </c>
      <c r="B30">
        <v>28</v>
      </c>
      <c r="C30">
        <v>248</v>
      </c>
      <c r="E30">
        <v>25</v>
      </c>
      <c r="F30">
        <f t="shared" si="4"/>
        <v>220.16897081413211</v>
      </c>
      <c r="G30">
        <f t="shared" si="5"/>
        <v>28</v>
      </c>
      <c r="J30" s="6"/>
    </row>
    <row r="31" spans="1:13" x14ac:dyDescent="0.3">
      <c r="A31">
        <v>194</v>
      </c>
      <c r="B31">
        <v>21</v>
      </c>
      <c r="C31">
        <v>215</v>
      </c>
      <c r="E31">
        <v>30</v>
      </c>
      <c r="F31">
        <f t="shared" si="4"/>
        <v>194.1490015360983</v>
      </c>
      <c r="G31">
        <f t="shared" si="5"/>
        <v>21</v>
      </c>
      <c r="J31" s="6"/>
    </row>
    <row r="32" spans="1:13" x14ac:dyDescent="0.3">
      <c r="A32">
        <v>156</v>
      </c>
      <c r="B32">
        <v>16</v>
      </c>
      <c r="C32">
        <v>172</v>
      </c>
      <c r="E32">
        <v>35</v>
      </c>
      <c r="F32">
        <f t="shared" si="4"/>
        <v>156.11981566820276</v>
      </c>
      <c r="G32">
        <f t="shared" si="5"/>
        <v>16</v>
      </c>
      <c r="J32" s="6"/>
    </row>
    <row r="33" spans="1:7" x14ac:dyDescent="0.3">
      <c r="A33">
        <v>125</v>
      </c>
      <c r="B33">
        <v>23</v>
      </c>
      <c r="C33">
        <v>148</v>
      </c>
      <c r="E33">
        <v>40</v>
      </c>
      <c r="F33">
        <f t="shared" si="4"/>
        <v>125.09600614439324</v>
      </c>
      <c r="G33">
        <f t="shared" si="5"/>
        <v>23</v>
      </c>
    </row>
    <row r="34" spans="1:7" x14ac:dyDescent="0.3">
      <c r="A34">
        <v>116</v>
      </c>
      <c r="B34">
        <v>8</v>
      </c>
      <c r="C34">
        <v>124</v>
      </c>
      <c r="E34">
        <v>45</v>
      </c>
      <c r="F34">
        <f t="shared" si="4"/>
        <v>116.08909370199693</v>
      </c>
      <c r="G34">
        <f t="shared" si="5"/>
        <v>8</v>
      </c>
    </row>
    <row r="35" spans="1:7" x14ac:dyDescent="0.3">
      <c r="A35">
        <v>79</v>
      </c>
      <c r="B35">
        <v>7</v>
      </c>
      <c r="C35">
        <v>86</v>
      </c>
      <c r="E35">
        <v>50</v>
      </c>
      <c r="F35">
        <f t="shared" si="4"/>
        <v>79.060675883256522</v>
      </c>
      <c r="G35">
        <f t="shared" si="5"/>
        <v>7</v>
      </c>
    </row>
    <row r="36" spans="1:7" x14ac:dyDescent="0.3">
      <c r="A36">
        <v>51</v>
      </c>
      <c r="B36">
        <v>7</v>
      </c>
      <c r="C36">
        <v>58</v>
      </c>
      <c r="E36">
        <v>55</v>
      </c>
      <c r="F36">
        <f t="shared" si="4"/>
        <v>51.039170506912441</v>
      </c>
      <c r="G36">
        <f t="shared" si="5"/>
        <v>7</v>
      </c>
    </row>
    <row r="37" spans="1:7" x14ac:dyDescent="0.3">
      <c r="A37">
        <v>32</v>
      </c>
      <c r="B37">
        <v>4</v>
      </c>
      <c r="C37">
        <v>36</v>
      </c>
      <c r="E37">
        <v>60</v>
      </c>
      <c r="F37">
        <f t="shared" si="4"/>
        <v>32.024577572964667</v>
      </c>
      <c r="G37">
        <f t="shared" si="5"/>
        <v>4</v>
      </c>
    </row>
    <row r="38" spans="1:7" x14ac:dyDescent="0.3">
      <c r="A38">
        <v>24</v>
      </c>
      <c r="B38">
        <v>6</v>
      </c>
      <c r="C38">
        <v>30</v>
      </c>
      <c r="E38">
        <v>65</v>
      </c>
      <c r="F38">
        <f t="shared" si="4"/>
        <v>24.018433179723502</v>
      </c>
      <c r="G38">
        <f t="shared" si="5"/>
        <v>6</v>
      </c>
    </row>
    <row r="39" spans="1:7" x14ac:dyDescent="0.3">
      <c r="A39">
        <v>18</v>
      </c>
      <c r="B39">
        <v>3</v>
      </c>
      <c r="C39">
        <v>21</v>
      </c>
      <c r="E39">
        <v>70</v>
      </c>
      <c r="F39">
        <f t="shared" si="4"/>
        <v>18.013824884792626</v>
      </c>
      <c r="G39">
        <f t="shared" si="5"/>
        <v>3</v>
      </c>
    </row>
    <row r="40" spans="1:7" x14ac:dyDescent="0.3">
      <c r="A40">
        <v>7</v>
      </c>
      <c r="B40">
        <v>2</v>
      </c>
      <c r="C40">
        <v>9</v>
      </c>
      <c r="E40">
        <v>75</v>
      </c>
      <c r="F40">
        <f t="shared" si="4"/>
        <v>7.0053763440860219</v>
      </c>
      <c r="G40">
        <f t="shared" si="5"/>
        <v>2</v>
      </c>
    </row>
    <row r="41" spans="1:7" x14ac:dyDescent="0.3">
      <c r="A41">
        <v>3</v>
      </c>
      <c r="B41">
        <v>1</v>
      </c>
      <c r="C41">
        <v>4</v>
      </c>
      <c r="E41">
        <v>80</v>
      </c>
      <c r="F41">
        <f t="shared" si="4"/>
        <v>3.0023041474654377</v>
      </c>
      <c r="G41">
        <f t="shared" si="5"/>
        <v>1</v>
      </c>
    </row>
    <row r="42" spans="1:7" x14ac:dyDescent="0.3">
      <c r="A42">
        <v>3</v>
      </c>
      <c r="B42">
        <v>1</v>
      </c>
      <c r="C42">
        <v>4</v>
      </c>
      <c r="E42">
        <v>85</v>
      </c>
      <c r="F42">
        <f t="shared" si="4"/>
        <v>3.0023041474654377</v>
      </c>
      <c r="G42">
        <f t="shared" si="5"/>
        <v>1</v>
      </c>
    </row>
    <row r="43" spans="1:7" x14ac:dyDescent="0.3">
      <c r="A43">
        <v>1</v>
      </c>
      <c r="C43">
        <v>1</v>
      </c>
    </row>
    <row r="44" spans="1:7" x14ac:dyDescent="0.3">
      <c r="F44">
        <f>SUM(F24:F42)</f>
        <v>1302.9999999999998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98C34-ECF9-414A-A1D4-EFAFC958305B}">
  <dimension ref="A1:J40"/>
  <sheetViews>
    <sheetView topLeftCell="B1" workbookViewId="0">
      <selection activeCell="J3" sqref="J3"/>
    </sheetView>
  </sheetViews>
  <sheetFormatPr baseColWidth="10" defaultRowHeight="14.4" x14ac:dyDescent="0.3"/>
  <sheetData>
    <row r="1" spans="1:10" x14ac:dyDescent="0.3">
      <c r="A1" s="3" t="s">
        <v>19</v>
      </c>
      <c r="B1" s="3" t="s">
        <v>19</v>
      </c>
      <c r="C1" t="s">
        <v>20</v>
      </c>
      <c r="D1" t="s">
        <v>21</v>
      </c>
      <c r="E1" t="s">
        <v>22</v>
      </c>
      <c r="G1" s="3" t="s">
        <v>19</v>
      </c>
      <c r="H1" t="s">
        <v>20</v>
      </c>
      <c r="I1" t="s">
        <v>21</v>
      </c>
      <c r="J1" t="s">
        <v>22</v>
      </c>
    </row>
    <row r="2" spans="1:10" x14ac:dyDescent="0.3">
      <c r="A2">
        <v>1990</v>
      </c>
      <c r="B2">
        <v>2019</v>
      </c>
      <c r="C2" s="8" t="s">
        <v>23</v>
      </c>
      <c r="D2" s="9">
        <v>0</v>
      </c>
      <c r="E2" s="9">
        <v>2.0015360983102917</v>
      </c>
      <c r="G2">
        <v>2019</v>
      </c>
      <c r="H2" s="10" t="s">
        <v>26</v>
      </c>
      <c r="I2" s="11">
        <v>0</v>
      </c>
      <c r="J2" s="11">
        <v>0</v>
      </c>
    </row>
    <row r="3" spans="1:10" x14ac:dyDescent="0.3">
      <c r="A3">
        <v>1990</v>
      </c>
      <c r="B3">
        <v>2019</v>
      </c>
      <c r="C3" s="8" t="s">
        <v>23</v>
      </c>
      <c r="D3" s="9">
        <v>1</v>
      </c>
      <c r="E3" s="9">
        <v>4.0030721966205833</v>
      </c>
      <c r="G3">
        <v>2019</v>
      </c>
      <c r="H3" s="10" t="s">
        <v>26</v>
      </c>
      <c r="I3" s="11">
        <v>1</v>
      </c>
      <c r="J3" s="11">
        <v>0</v>
      </c>
    </row>
    <row r="4" spans="1:10" x14ac:dyDescent="0.3">
      <c r="A4">
        <v>1990</v>
      </c>
      <c r="B4">
        <v>2019</v>
      </c>
      <c r="C4" s="8" t="s">
        <v>23</v>
      </c>
      <c r="D4" s="9">
        <v>5</v>
      </c>
      <c r="E4" s="9">
        <v>1.0007680491551458</v>
      </c>
      <c r="G4">
        <v>2019</v>
      </c>
      <c r="H4" s="10" t="s">
        <v>26</v>
      </c>
      <c r="I4" s="11">
        <v>5</v>
      </c>
      <c r="J4" s="11">
        <v>0</v>
      </c>
    </row>
    <row r="5" spans="1:10" x14ac:dyDescent="0.3">
      <c r="A5">
        <v>1990</v>
      </c>
      <c r="B5">
        <v>2019</v>
      </c>
      <c r="C5" s="8" t="s">
        <v>23</v>
      </c>
      <c r="D5" s="9">
        <v>10</v>
      </c>
      <c r="E5" s="9">
        <v>8.0061443932411667</v>
      </c>
      <c r="G5">
        <v>2019</v>
      </c>
      <c r="H5" s="10" t="s">
        <v>26</v>
      </c>
      <c r="I5" s="11">
        <v>10</v>
      </c>
      <c r="J5" s="11">
        <v>4</v>
      </c>
    </row>
    <row r="6" spans="1:10" x14ac:dyDescent="0.3">
      <c r="A6">
        <v>1990</v>
      </c>
      <c r="B6">
        <v>2019</v>
      </c>
      <c r="C6" s="8" t="s">
        <v>23</v>
      </c>
      <c r="D6" s="9">
        <v>15</v>
      </c>
      <c r="E6" s="9">
        <v>70.053763440860209</v>
      </c>
      <c r="G6">
        <v>2019</v>
      </c>
      <c r="H6" s="10" t="s">
        <v>26</v>
      </c>
      <c r="I6" s="11">
        <v>15</v>
      </c>
      <c r="J6" s="11">
        <v>14</v>
      </c>
    </row>
    <row r="7" spans="1:10" x14ac:dyDescent="0.3">
      <c r="A7">
        <v>1990</v>
      </c>
      <c r="B7">
        <v>2019</v>
      </c>
      <c r="C7" s="8" t="s">
        <v>23</v>
      </c>
      <c r="D7" s="9">
        <v>20</v>
      </c>
      <c r="E7" s="9">
        <v>189.14516129032259</v>
      </c>
      <c r="G7">
        <v>2019</v>
      </c>
      <c r="H7" s="10" t="s">
        <v>26</v>
      </c>
      <c r="I7" s="11">
        <v>20</v>
      </c>
      <c r="J7" s="11">
        <v>22</v>
      </c>
    </row>
    <row r="8" spans="1:10" x14ac:dyDescent="0.3">
      <c r="A8">
        <v>1990</v>
      </c>
      <c r="B8">
        <v>2019</v>
      </c>
      <c r="C8" s="8" t="s">
        <v>23</v>
      </c>
      <c r="D8" s="9">
        <v>25</v>
      </c>
      <c r="E8" s="9">
        <v>220.16897081413211</v>
      </c>
      <c r="G8">
        <v>2019</v>
      </c>
      <c r="H8" s="10" t="s">
        <v>26</v>
      </c>
      <c r="I8" s="11">
        <v>25</v>
      </c>
      <c r="J8" s="11">
        <v>28</v>
      </c>
    </row>
    <row r="9" spans="1:10" x14ac:dyDescent="0.3">
      <c r="A9">
        <v>1990</v>
      </c>
      <c r="B9">
        <v>2019</v>
      </c>
      <c r="C9" s="8" t="s">
        <v>23</v>
      </c>
      <c r="D9" s="9">
        <v>30</v>
      </c>
      <c r="E9" s="9">
        <v>194.1490015360983</v>
      </c>
      <c r="G9">
        <v>2019</v>
      </c>
      <c r="H9" s="10" t="s">
        <v>26</v>
      </c>
      <c r="I9" s="11">
        <v>30</v>
      </c>
      <c r="J9" s="11">
        <v>21</v>
      </c>
    </row>
    <row r="10" spans="1:10" x14ac:dyDescent="0.3">
      <c r="A10">
        <v>1990</v>
      </c>
      <c r="B10">
        <v>2019</v>
      </c>
      <c r="C10" s="8" t="s">
        <v>23</v>
      </c>
      <c r="D10" s="9">
        <v>35</v>
      </c>
      <c r="E10" s="9">
        <v>156.11981566820276</v>
      </c>
      <c r="G10">
        <v>2019</v>
      </c>
      <c r="H10" s="10" t="s">
        <v>26</v>
      </c>
      <c r="I10" s="11">
        <v>35</v>
      </c>
      <c r="J10" s="11">
        <v>16</v>
      </c>
    </row>
    <row r="11" spans="1:10" x14ac:dyDescent="0.3">
      <c r="A11">
        <v>1990</v>
      </c>
      <c r="B11">
        <v>2019</v>
      </c>
      <c r="C11" s="8" t="s">
        <v>23</v>
      </c>
      <c r="D11" s="9">
        <v>40</v>
      </c>
      <c r="E11" s="9">
        <v>125.09600614439324</v>
      </c>
      <c r="G11">
        <v>2019</v>
      </c>
      <c r="H11" s="10" t="s">
        <v>26</v>
      </c>
      <c r="I11" s="11">
        <v>40</v>
      </c>
      <c r="J11" s="11">
        <v>23</v>
      </c>
    </row>
    <row r="12" spans="1:10" x14ac:dyDescent="0.3">
      <c r="A12">
        <v>1990</v>
      </c>
      <c r="B12">
        <v>2019</v>
      </c>
      <c r="C12" s="8" t="s">
        <v>23</v>
      </c>
      <c r="D12" s="9">
        <v>45</v>
      </c>
      <c r="E12" s="9">
        <v>116.08909370199693</v>
      </c>
      <c r="G12">
        <v>2019</v>
      </c>
      <c r="H12" s="10" t="s">
        <v>26</v>
      </c>
      <c r="I12" s="11">
        <v>45</v>
      </c>
      <c r="J12" s="11">
        <v>8</v>
      </c>
    </row>
    <row r="13" spans="1:10" x14ac:dyDescent="0.3">
      <c r="A13">
        <v>1990</v>
      </c>
      <c r="B13">
        <v>2019</v>
      </c>
      <c r="C13" s="8" t="s">
        <v>23</v>
      </c>
      <c r="D13" s="9">
        <v>50</v>
      </c>
      <c r="E13" s="9">
        <v>79.060675883256522</v>
      </c>
      <c r="G13">
        <v>2019</v>
      </c>
      <c r="H13" s="10" t="s">
        <v>26</v>
      </c>
      <c r="I13" s="11">
        <v>50</v>
      </c>
      <c r="J13" s="11">
        <v>7</v>
      </c>
    </row>
    <row r="14" spans="1:10" x14ac:dyDescent="0.3">
      <c r="A14">
        <v>1990</v>
      </c>
      <c r="B14">
        <v>2019</v>
      </c>
      <c r="C14" s="8" t="s">
        <v>23</v>
      </c>
      <c r="D14" s="9">
        <v>55</v>
      </c>
      <c r="E14" s="9">
        <v>51.039170506912441</v>
      </c>
      <c r="G14">
        <v>2019</v>
      </c>
      <c r="H14" s="10" t="s">
        <v>26</v>
      </c>
      <c r="I14" s="11">
        <v>55</v>
      </c>
      <c r="J14" s="11">
        <v>7</v>
      </c>
    </row>
    <row r="15" spans="1:10" x14ac:dyDescent="0.3">
      <c r="A15">
        <v>1990</v>
      </c>
      <c r="B15">
        <v>2019</v>
      </c>
      <c r="C15" s="8" t="s">
        <v>23</v>
      </c>
      <c r="D15" s="9">
        <v>60</v>
      </c>
      <c r="E15" s="9">
        <v>32.024577572964667</v>
      </c>
      <c r="G15">
        <v>2019</v>
      </c>
      <c r="H15" s="10" t="s">
        <v>26</v>
      </c>
      <c r="I15" s="11">
        <v>60</v>
      </c>
      <c r="J15" s="11">
        <v>4</v>
      </c>
    </row>
    <row r="16" spans="1:10" x14ac:dyDescent="0.3">
      <c r="A16">
        <v>1990</v>
      </c>
      <c r="B16">
        <v>2019</v>
      </c>
      <c r="C16" s="8" t="s">
        <v>23</v>
      </c>
      <c r="D16" s="9">
        <v>65</v>
      </c>
      <c r="E16" s="9">
        <v>24.018433179723502</v>
      </c>
      <c r="G16">
        <v>2019</v>
      </c>
      <c r="H16" s="10" t="s">
        <v>26</v>
      </c>
      <c r="I16" s="11">
        <v>65</v>
      </c>
      <c r="J16" s="11">
        <v>6</v>
      </c>
    </row>
    <row r="17" spans="1:10" x14ac:dyDescent="0.3">
      <c r="A17">
        <v>1990</v>
      </c>
      <c r="B17">
        <v>2019</v>
      </c>
      <c r="C17" s="8" t="s">
        <v>23</v>
      </c>
      <c r="D17" s="9">
        <v>70</v>
      </c>
      <c r="E17" s="9">
        <v>18.013824884792626</v>
      </c>
      <c r="G17">
        <v>2019</v>
      </c>
      <c r="H17" s="10" t="s">
        <v>26</v>
      </c>
      <c r="I17" s="11">
        <v>70</v>
      </c>
      <c r="J17" s="11">
        <v>3</v>
      </c>
    </row>
    <row r="18" spans="1:10" x14ac:dyDescent="0.3">
      <c r="A18">
        <v>1990</v>
      </c>
      <c r="B18">
        <v>2019</v>
      </c>
      <c r="C18" s="8" t="s">
        <v>23</v>
      </c>
      <c r="D18" s="9">
        <v>75</v>
      </c>
      <c r="E18" s="9">
        <v>7.0053763440860219</v>
      </c>
      <c r="G18">
        <v>2019</v>
      </c>
      <c r="H18" s="10" t="s">
        <v>26</v>
      </c>
      <c r="I18" s="11">
        <v>75</v>
      </c>
      <c r="J18" s="11">
        <v>2</v>
      </c>
    </row>
    <row r="19" spans="1:10" x14ac:dyDescent="0.3">
      <c r="A19">
        <v>1990</v>
      </c>
      <c r="B19">
        <v>2019</v>
      </c>
      <c r="C19" s="8" t="s">
        <v>23</v>
      </c>
      <c r="D19" s="9">
        <v>80</v>
      </c>
      <c r="E19" s="9">
        <v>3.0023041474654377</v>
      </c>
      <c r="G19">
        <v>2019</v>
      </c>
      <c r="H19" s="10" t="s">
        <v>26</v>
      </c>
      <c r="I19" s="11">
        <v>80</v>
      </c>
      <c r="J19" s="11">
        <v>1</v>
      </c>
    </row>
    <row r="20" spans="1:10" x14ac:dyDescent="0.3">
      <c r="A20">
        <v>1990</v>
      </c>
      <c r="B20">
        <v>2019</v>
      </c>
      <c r="C20" s="8" t="s">
        <v>23</v>
      </c>
      <c r="D20" s="9">
        <v>85</v>
      </c>
      <c r="E20" s="9">
        <v>3.0023041474654377</v>
      </c>
      <c r="G20">
        <v>2019</v>
      </c>
      <c r="H20" s="10" t="s">
        <v>26</v>
      </c>
      <c r="I20" s="11">
        <v>85</v>
      </c>
      <c r="J20" s="11">
        <v>1</v>
      </c>
    </row>
    <row r="40" spans="8:8" x14ac:dyDescent="0.3">
      <c r="H40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240DF-DF52-4F58-9860-1CDAD2AD03A8}">
  <dimension ref="A1:E21"/>
  <sheetViews>
    <sheetView workbookViewId="0">
      <selection activeCell="G4" sqref="G4"/>
    </sheetView>
  </sheetViews>
  <sheetFormatPr baseColWidth="10" defaultRowHeight="14.4" x14ac:dyDescent="0.3"/>
  <sheetData>
    <row r="1" spans="1:5" x14ac:dyDescent="0.3">
      <c r="A1" t="s">
        <v>60</v>
      </c>
    </row>
    <row r="2" spans="1:5" x14ac:dyDescent="0.3">
      <c r="B2" s="3" t="s">
        <v>5</v>
      </c>
      <c r="C2" s="3" t="s">
        <v>24</v>
      </c>
      <c r="D2" s="3" t="s">
        <v>27</v>
      </c>
      <c r="E2" s="3" t="s">
        <v>19</v>
      </c>
    </row>
    <row r="3" spans="1:5" x14ac:dyDescent="0.3">
      <c r="B3">
        <v>0</v>
      </c>
      <c r="C3" s="9">
        <v>731</v>
      </c>
      <c r="D3" s="11">
        <v>643</v>
      </c>
      <c r="E3">
        <v>2019</v>
      </c>
    </row>
    <row r="4" spans="1:5" x14ac:dyDescent="0.3">
      <c r="B4">
        <v>1</v>
      </c>
      <c r="C4" s="9">
        <v>152</v>
      </c>
      <c r="D4" s="11">
        <v>135</v>
      </c>
      <c r="E4">
        <v>2019</v>
      </c>
    </row>
    <row r="5" spans="1:5" x14ac:dyDescent="0.3">
      <c r="B5">
        <v>5</v>
      </c>
      <c r="C5" s="9">
        <v>122</v>
      </c>
      <c r="D5" s="11">
        <v>84</v>
      </c>
      <c r="E5">
        <v>2019</v>
      </c>
    </row>
    <row r="6" spans="1:5" x14ac:dyDescent="0.3">
      <c r="B6">
        <v>10</v>
      </c>
      <c r="C6" s="9">
        <v>356</v>
      </c>
      <c r="D6" s="11">
        <v>144</v>
      </c>
      <c r="E6">
        <v>2019</v>
      </c>
    </row>
    <row r="7" spans="1:5" x14ac:dyDescent="0.3">
      <c r="B7">
        <v>15</v>
      </c>
      <c r="C7" s="9">
        <v>640</v>
      </c>
      <c r="D7" s="11">
        <v>175</v>
      </c>
      <c r="E7">
        <v>2019</v>
      </c>
    </row>
    <row r="8" spans="1:5" x14ac:dyDescent="0.3">
      <c r="B8">
        <v>20</v>
      </c>
      <c r="C8" s="9">
        <v>833</v>
      </c>
      <c r="D8" s="11">
        <v>239</v>
      </c>
      <c r="E8">
        <v>2019</v>
      </c>
    </row>
    <row r="9" spans="1:5" x14ac:dyDescent="0.3">
      <c r="B9">
        <v>25</v>
      </c>
      <c r="C9" s="9">
        <v>834</v>
      </c>
      <c r="D9" s="11">
        <v>311</v>
      </c>
      <c r="E9">
        <v>2019</v>
      </c>
    </row>
    <row r="10" spans="1:5" x14ac:dyDescent="0.3">
      <c r="B10">
        <v>30</v>
      </c>
      <c r="C10" s="9">
        <v>924</v>
      </c>
      <c r="D10" s="11">
        <v>374</v>
      </c>
      <c r="E10">
        <v>2019</v>
      </c>
    </row>
    <row r="11" spans="1:5" x14ac:dyDescent="0.3">
      <c r="B11">
        <v>35</v>
      </c>
      <c r="C11" s="9">
        <v>1077</v>
      </c>
      <c r="D11" s="11">
        <v>550</v>
      </c>
      <c r="E11">
        <v>2019</v>
      </c>
    </row>
    <row r="12" spans="1:5" x14ac:dyDescent="0.3">
      <c r="B12">
        <v>40</v>
      </c>
      <c r="C12" s="9">
        <v>1421</v>
      </c>
      <c r="D12" s="11">
        <v>870</v>
      </c>
      <c r="E12">
        <v>2019</v>
      </c>
    </row>
    <row r="13" spans="1:5" x14ac:dyDescent="0.3">
      <c r="B13">
        <v>45</v>
      </c>
      <c r="C13" s="9">
        <v>106</v>
      </c>
      <c r="D13" s="11">
        <v>86</v>
      </c>
      <c r="E13">
        <v>2019</v>
      </c>
    </row>
    <row r="14" spans="1:5" x14ac:dyDescent="0.3">
      <c r="B14">
        <v>50</v>
      </c>
      <c r="C14" s="9">
        <v>1810</v>
      </c>
      <c r="D14" s="11">
        <v>1114</v>
      </c>
      <c r="E14">
        <v>2019</v>
      </c>
    </row>
    <row r="15" spans="1:5" x14ac:dyDescent="0.3">
      <c r="B15">
        <v>55</v>
      </c>
      <c r="C15" s="9">
        <v>2225</v>
      </c>
      <c r="D15" s="11">
        <v>1592</v>
      </c>
      <c r="E15">
        <v>2019</v>
      </c>
    </row>
    <row r="16" spans="1:5" x14ac:dyDescent="0.3">
      <c r="B16">
        <v>60</v>
      </c>
      <c r="C16" s="9">
        <v>2691</v>
      </c>
      <c r="D16" s="11">
        <v>2063</v>
      </c>
      <c r="E16">
        <v>2019</v>
      </c>
    </row>
    <row r="17" spans="2:5" x14ac:dyDescent="0.3">
      <c r="B17">
        <v>65</v>
      </c>
      <c r="C17" s="9">
        <v>2820</v>
      </c>
      <c r="D17" s="11">
        <v>2402</v>
      </c>
      <c r="E17">
        <v>2019</v>
      </c>
    </row>
    <row r="18" spans="2:5" x14ac:dyDescent="0.3">
      <c r="B18">
        <v>70</v>
      </c>
      <c r="C18" s="9">
        <v>3079</v>
      </c>
      <c r="D18" s="11">
        <v>2648</v>
      </c>
      <c r="E18">
        <v>2019</v>
      </c>
    </row>
    <row r="19" spans="2:5" x14ac:dyDescent="0.3">
      <c r="B19">
        <v>75</v>
      </c>
      <c r="C19" s="9">
        <v>3335</v>
      </c>
      <c r="D19" s="11">
        <v>2956</v>
      </c>
      <c r="E19">
        <v>2019</v>
      </c>
    </row>
    <row r="20" spans="2:5" x14ac:dyDescent="0.3">
      <c r="B20">
        <v>80</v>
      </c>
      <c r="C20" s="9">
        <v>3298</v>
      </c>
      <c r="D20" s="11">
        <v>3369</v>
      </c>
      <c r="E20">
        <v>2019</v>
      </c>
    </row>
    <row r="21" spans="2:5" x14ac:dyDescent="0.3">
      <c r="B21">
        <v>85</v>
      </c>
      <c r="C21" s="9">
        <v>4797</v>
      </c>
      <c r="D21" s="11">
        <v>6195</v>
      </c>
      <c r="E21">
        <v>2019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F28A7-77CF-4D44-BA8C-4EAF2BB36E78}">
  <dimension ref="A1:K43"/>
  <sheetViews>
    <sheetView workbookViewId="0">
      <selection activeCell="H23" sqref="H23"/>
    </sheetView>
  </sheetViews>
  <sheetFormatPr baseColWidth="10" defaultRowHeight="14.4" x14ac:dyDescent="0.3"/>
  <sheetData>
    <row r="1" spans="1:11" x14ac:dyDescent="0.3">
      <c r="A1" s="9" t="s">
        <v>28</v>
      </c>
      <c r="B1" s="9" t="s">
        <v>29</v>
      </c>
      <c r="C1" s="9" t="s">
        <v>30</v>
      </c>
      <c r="D1" s="9" t="s">
        <v>31</v>
      </c>
      <c r="E1" s="9" t="s">
        <v>32</v>
      </c>
      <c r="F1" s="9" t="s">
        <v>33</v>
      </c>
      <c r="G1" s="9" t="s">
        <v>34</v>
      </c>
      <c r="H1" s="9" t="s">
        <v>35</v>
      </c>
      <c r="I1" s="9" t="s">
        <v>36</v>
      </c>
      <c r="J1" s="9" t="s">
        <v>37</v>
      </c>
      <c r="K1" s="9" t="s">
        <v>38</v>
      </c>
    </row>
    <row r="2" spans="1:11" x14ac:dyDescent="0.3">
      <c r="A2" s="9">
        <v>0</v>
      </c>
      <c r="B2" s="9">
        <v>1</v>
      </c>
      <c r="C2" s="9">
        <v>1.31444086814234E-2</v>
      </c>
      <c r="D2" s="9">
        <v>8.0279592900940402E-2</v>
      </c>
      <c r="E2" s="9">
        <v>1.29874016336076E-2</v>
      </c>
      <c r="F2" s="9">
        <v>0.98701259836639199</v>
      </c>
      <c r="G2" s="9">
        <v>100000</v>
      </c>
      <c r="H2" s="9">
        <v>1298.7401633607501</v>
      </c>
      <c r="I2" s="9">
        <v>98805.522168237905</v>
      </c>
      <c r="J2" s="9">
        <v>7262802.02304429</v>
      </c>
      <c r="K2" s="9">
        <v>72.6280202304429</v>
      </c>
    </row>
    <row r="3" spans="1:11" x14ac:dyDescent="0.3">
      <c r="A3" s="9">
        <v>1</v>
      </c>
      <c r="B3" s="9">
        <v>4</v>
      </c>
      <c r="C3" s="9">
        <v>6.0758441226201304E-4</v>
      </c>
      <c r="D3" s="9">
        <v>2</v>
      </c>
      <c r="E3" s="9">
        <v>2.4273879628705498E-3</v>
      </c>
      <c r="F3" s="9">
        <v>0.99757261203712899</v>
      </c>
      <c r="G3" s="9">
        <v>98701.259836639205</v>
      </c>
      <c r="H3" s="9">
        <v>239.58625004762101</v>
      </c>
      <c r="I3" s="9">
        <v>394325.86684646201</v>
      </c>
      <c r="J3" s="9">
        <v>7163996.5008760504</v>
      </c>
      <c r="K3" s="9">
        <v>72.582624707457697</v>
      </c>
    </row>
    <row r="4" spans="1:11" x14ac:dyDescent="0.3">
      <c r="A4" s="9">
        <v>5</v>
      </c>
      <c r="B4" s="9">
        <v>5</v>
      </c>
      <c r="C4" s="9">
        <v>3.0749772277629801E-4</v>
      </c>
      <c r="D4" s="9">
        <v>2.5</v>
      </c>
      <c r="E4" s="9">
        <v>1.53630758617091E-3</v>
      </c>
      <c r="F4" s="9">
        <v>0.99846369241382904</v>
      </c>
      <c r="G4" s="9">
        <v>98461.673586591598</v>
      </c>
      <c r="H4" s="9">
        <v>151.26741607817499</v>
      </c>
      <c r="I4" s="9">
        <v>491930.19939276302</v>
      </c>
      <c r="J4" s="9">
        <v>6769670.6340295896</v>
      </c>
      <c r="K4" s="9">
        <v>68.754373020848902</v>
      </c>
    </row>
    <row r="5" spans="1:11" x14ac:dyDescent="0.3">
      <c r="A5" s="9">
        <v>10</v>
      </c>
      <c r="B5" s="9">
        <v>5</v>
      </c>
      <c r="C5" s="9">
        <v>3.4837932225944001E-4</v>
      </c>
      <c r="D5" s="9">
        <v>2.5</v>
      </c>
      <c r="E5" s="9">
        <v>1.74038082956251E-3</v>
      </c>
      <c r="F5" s="9">
        <v>0.99825961917043704</v>
      </c>
      <c r="G5" s="9">
        <v>98310.406170513495</v>
      </c>
      <c r="H5" s="9">
        <v>171.09754624567</v>
      </c>
      <c r="I5" s="9">
        <v>491124.286986953</v>
      </c>
      <c r="J5" s="9">
        <v>6277740.4346368304</v>
      </c>
      <c r="K5" s="9">
        <v>63.8563167336372</v>
      </c>
    </row>
    <row r="6" spans="1:11" x14ac:dyDescent="0.3">
      <c r="A6" s="9">
        <v>15</v>
      </c>
      <c r="B6" s="9">
        <v>5</v>
      </c>
      <c r="C6" s="9">
        <v>1.0253722014683601E-3</v>
      </c>
      <c r="D6" s="9">
        <v>2.5</v>
      </c>
      <c r="E6" s="9">
        <v>5.1137522588133198E-3</v>
      </c>
      <c r="F6" s="9">
        <v>0.99488624774118695</v>
      </c>
      <c r="G6" s="9">
        <v>98139.308624267796</v>
      </c>
      <c r="H6" s="9">
        <v>501.86011115570699</v>
      </c>
      <c r="I6" s="9">
        <v>489441.89284345001</v>
      </c>
      <c r="J6" s="9">
        <v>5786616.1476498703</v>
      </c>
      <c r="K6" s="9">
        <v>58.963286258763901</v>
      </c>
    </row>
    <row r="7" spans="1:11" x14ac:dyDescent="0.3">
      <c r="A7" s="9">
        <v>20</v>
      </c>
      <c r="B7" s="9">
        <v>5</v>
      </c>
      <c r="C7" s="9">
        <v>2.1781227984794E-3</v>
      </c>
      <c r="D7" s="9">
        <v>2.5</v>
      </c>
      <c r="E7" s="9">
        <v>1.0831632428553501E-2</v>
      </c>
      <c r="F7" s="9">
        <v>0.98916836757144599</v>
      </c>
      <c r="G7" s="9">
        <v>97637.448513112104</v>
      </c>
      <c r="H7" s="9">
        <v>1057.5729535558601</v>
      </c>
      <c r="I7" s="9">
        <v>485543.310181671</v>
      </c>
      <c r="J7" s="9">
        <v>5297174.2548064198</v>
      </c>
      <c r="K7" s="9">
        <v>54.253509646916299</v>
      </c>
    </row>
    <row r="8" spans="1:11" x14ac:dyDescent="0.3">
      <c r="A8" s="9">
        <v>25</v>
      </c>
      <c r="B8" s="9">
        <v>5</v>
      </c>
      <c r="C8" s="9">
        <v>3.0619934202062199E-3</v>
      </c>
      <c r="D8" s="9">
        <v>2.5</v>
      </c>
      <c r="E8" s="9">
        <v>1.51936598845428E-2</v>
      </c>
      <c r="F8" s="9">
        <v>0.98480634011545698</v>
      </c>
      <c r="G8" s="9">
        <v>96579.875559556196</v>
      </c>
      <c r="H8" s="9">
        <v>1467.4017809433601</v>
      </c>
      <c r="I8" s="9">
        <v>479230.87334542302</v>
      </c>
      <c r="J8" s="9">
        <v>4811630.9446247499</v>
      </c>
      <c r="K8" s="9">
        <v>49.820223071810098</v>
      </c>
    </row>
    <row r="9" spans="1:11" x14ac:dyDescent="0.3">
      <c r="A9" s="9">
        <v>30</v>
      </c>
      <c r="B9" s="9">
        <v>5</v>
      </c>
      <c r="C9" s="9">
        <v>3.1766224961244402E-3</v>
      </c>
      <c r="D9" s="9">
        <v>2.5</v>
      </c>
      <c r="E9" s="9">
        <v>1.57579696781898E-2</v>
      </c>
      <c r="F9" s="9">
        <v>0.98424203032181001</v>
      </c>
      <c r="G9" s="9">
        <v>95112.473778612897</v>
      </c>
      <c r="H9" s="9">
        <v>1498.77947782101</v>
      </c>
      <c r="I9" s="9">
        <v>471815.42019851197</v>
      </c>
      <c r="J9" s="9">
        <v>4332400.0712793302</v>
      </c>
      <c r="K9" s="9">
        <v>45.550282724888199</v>
      </c>
    </row>
    <row r="10" spans="1:11" x14ac:dyDescent="0.3">
      <c r="A10" s="9">
        <v>35</v>
      </c>
      <c r="B10" s="9">
        <v>5</v>
      </c>
      <c r="C10" s="9">
        <v>3.5756576656063499E-3</v>
      </c>
      <c r="D10" s="9">
        <v>2.5</v>
      </c>
      <c r="E10" s="9">
        <v>1.77198876973351E-2</v>
      </c>
      <c r="F10" s="9">
        <v>0.98228011230266499</v>
      </c>
      <c r="G10" s="9">
        <v>93613.694300791802</v>
      </c>
      <c r="H10" s="9">
        <v>1658.8241499426899</v>
      </c>
      <c r="I10" s="9">
        <v>463921.41112910298</v>
      </c>
      <c r="J10" s="9">
        <v>3860584.6510808198</v>
      </c>
      <c r="K10" s="9">
        <v>41.239528894953203</v>
      </c>
    </row>
    <row r="11" spans="1:11" x14ac:dyDescent="0.3">
      <c r="A11" s="9">
        <v>40</v>
      </c>
      <c r="B11" s="9">
        <v>5</v>
      </c>
      <c r="C11" s="9">
        <v>4.3741724812970603E-3</v>
      </c>
      <c r="D11" s="9">
        <v>2.5</v>
      </c>
      <c r="E11" s="9">
        <v>2.1634282201835602E-2</v>
      </c>
      <c r="F11" s="9">
        <v>0.97836571779816395</v>
      </c>
      <c r="G11" s="9">
        <v>91954.870150849194</v>
      </c>
      <c r="H11" s="9">
        <v>1989.37761067662</v>
      </c>
      <c r="I11" s="9">
        <v>454800.90672755399</v>
      </c>
      <c r="J11" s="9">
        <v>3396663.23995172</v>
      </c>
      <c r="K11" s="9">
        <v>36.9383724252951</v>
      </c>
    </row>
    <row r="12" spans="1:11" x14ac:dyDescent="0.3">
      <c r="A12" s="9">
        <v>45</v>
      </c>
      <c r="B12" s="9">
        <v>5</v>
      </c>
      <c r="C12" s="9">
        <v>5.98461940179075E-3</v>
      </c>
      <c r="D12" s="9">
        <v>2.5</v>
      </c>
      <c r="E12" s="9">
        <v>2.94820006265703E-2</v>
      </c>
      <c r="F12" s="9">
        <v>0.97051799937342997</v>
      </c>
      <c r="G12" s="9">
        <v>89965.492540172505</v>
      </c>
      <c r="H12" s="9">
        <v>2652.3627074390702</v>
      </c>
      <c r="I12" s="9">
        <v>443196.55593226501</v>
      </c>
      <c r="J12" s="9">
        <v>2941862.3332241601</v>
      </c>
      <c r="K12" s="9">
        <v>32.699896928931103</v>
      </c>
    </row>
    <row r="13" spans="1:11" x14ac:dyDescent="0.3">
      <c r="A13" s="9">
        <v>50</v>
      </c>
      <c r="B13" s="9">
        <v>5</v>
      </c>
      <c r="C13" s="9">
        <v>8.0997386603658805E-3</v>
      </c>
      <c r="D13" s="9">
        <v>2.5</v>
      </c>
      <c r="E13" s="9">
        <v>3.9694897560847202E-2</v>
      </c>
      <c r="F13" s="9">
        <v>0.96030510243915301</v>
      </c>
      <c r="G13" s="9">
        <v>87313.129832733495</v>
      </c>
      <c r="H13" s="9">
        <v>3465.8857444273199</v>
      </c>
      <c r="I13" s="9">
        <v>427900.93480259902</v>
      </c>
      <c r="J13" s="9">
        <v>2498665.7772919</v>
      </c>
      <c r="K13" s="9">
        <v>28.617297101577002</v>
      </c>
    </row>
    <row r="14" spans="1:11" x14ac:dyDescent="0.3">
      <c r="A14" s="9">
        <v>55</v>
      </c>
      <c r="B14" s="9">
        <v>5</v>
      </c>
      <c r="C14" s="9">
        <v>1.1795516113470199E-2</v>
      </c>
      <c r="D14" s="9">
        <v>2.5</v>
      </c>
      <c r="E14" s="9">
        <v>5.7288220254539897E-2</v>
      </c>
      <c r="F14" s="9">
        <v>0.94271177974546005</v>
      </c>
      <c r="G14" s="9">
        <v>83847.244088306106</v>
      </c>
      <c r="H14" s="9">
        <v>4803.4593870670496</v>
      </c>
      <c r="I14" s="9">
        <v>407227.571973863</v>
      </c>
      <c r="J14" s="9">
        <v>2070764.8424893001</v>
      </c>
      <c r="K14" s="9">
        <v>24.6968742384474</v>
      </c>
    </row>
    <row r="15" spans="1:11" x14ac:dyDescent="0.3">
      <c r="A15" s="9">
        <v>60</v>
      </c>
      <c r="B15" s="9">
        <v>5</v>
      </c>
      <c r="C15" s="9">
        <v>1.69197396963124E-2</v>
      </c>
      <c r="D15" s="9">
        <v>2.5</v>
      </c>
      <c r="E15" s="9">
        <v>8.1165452653486E-2</v>
      </c>
      <c r="F15" s="9">
        <v>0.91883454734651404</v>
      </c>
      <c r="G15" s="9">
        <v>79043.784701239099</v>
      </c>
      <c r="H15" s="9">
        <v>6415.6245647207497</v>
      </c>
      <c r="I15" s="9">
        <v>379179.86209439399</v>
      </c>
      <c r="J15" s="9">
        <v>1663537.27051543</v>
      </c>
      <c r="K15" s="9">
        <v>21.045769465658701</v>
      </c>
    </row>
    <row r="16" spans="1:11" x14ac:dyDescent="0.3">
      <c r="A16" s="9">
        <v>65</v>
      </c>
      <c r="B16" s="9">
        <v>5</v>
      </c>
      <c r="C16" s="9">
        <v>2.2180971558016599E-2</v>
      </c>
      <c r="D16" s="9">
        <v>2.5</v>
      </c>
      <c r="E16" s="9">
        <v>0.105078026023579</v>
      </c>
      <c r="F16" s="9">
        <v>0.89492197397642104</v>
      </c>
      <c r="G16" s="9">
        <v>72628.160136518301</v>
      </c>
      <c r="H16" s="9">
        <v>7631.6237008697599</v>
      </c>
      <c r="I16" s="9">
        <v>344061.74143041699</v>
      </c>
      <c r="J16" s="9">
        <v>1284357.40842104</v>
      </c>
      <c r="K16" s="9">
        <v>17.684014107019198</v>
      </c>
    </row>
    <row r="17" spans="1:11" x14ac:dyDescent="0.3">
      <c r="A17" s="9">
        <v>70</v>
      </c>
      <c r="B17" s="9">
        <v>5</v>
      </c>
      <c r="C17" s="9">
        <v>3.2866505838901799E-2</v>
      </c>
      <c r="D17" s="9">
        <v>2.5</v>
      </c>
      <c r="E17" s="9">
        <v>0.151855158094092</v>
      </c>
      <c r="F17" s="9">
        <v>0.848144841905908</v>
      </c>
      <c r="G17" s="9">
        <v>64996.536435648602</v>
      </c>
      <c r="H17" s="9">
        <v>9870.0593160038297</v>
      </c>
      <c r="I17" s="9">
        <v>300307.53388823301</v>
      </c>
      <c r="J17" s="9">
        <v>940295.66699062404</v>
      </c>
      <c r="K17" s="9">
        <v>14.466858059761201</v>
      </c>
    </row>
    <row r="18" spans="1:11" x14ac:dyDescent="0.3">
      <c r="A18" s="9">
        <v>75</v>
      </c>
      <c r="B18" s="9">
        <v>5</v>
      </c>
      <c r="C18" s="9">
        <v>4.9681946161753102E-2</v>
      </c>
      <c r="D18" s="9">
        <v>2.5</v>
      </c>
      <c r="E18" s="9">
        <v>0.22096482452013899</v>
      </c>
      <c r="F18" s="9">
        <v>0.77903517547986101</v>
      </c>
      <c r="G18" s="9">
        <v>55126.477119644798</v>
      </c>
      <c r="H18" s="9">
        <v>12181.0123431557</v>
      </c>
      <c r="I18" s="9">
        <v>245179.85474033401</v>
      </c>
      <c r="J18" s="9">
        <v>639988.13310239103</v>
      </c>
      <c r="K18" s="9">
        <v>11.609450966971499</v>
      </c>
    </row>
    <row r="19" spans="1:11" x14ac:dyDescent="0.3">
      <c r="A19" s="9">
        <v>80</v>
      </c>
      <c r="B19" s="9">
        <v>5</v>
      </c>
      <c r="C19" s="9">
        <v>7.8816556734537802E-2</v>
      </c>
      <c r="D19" s="9">
        <v>2.5</v>
      </c>
      <c r="E19" s="9">
        <v>0.32921399908163501</v>
      </c>
      <c r="F19" s="9">
        <v>0.67078600091836504</v>
      </c>
      <c r="G19" s="9">
        <v>42945.464776489003</v>
      </c>
      <c r="H19" s="9">
        <v>14138.2482014874</v>
      </c>
      <c r="I19" s="9">
        <v>179381.70337872699</v>
      </c>
      <c r="J19" s="9">
        <v>394808.27836205601</v>
      </c>
      <c r="K19" s="9">
        <v>9.1932473060158504</v>
      </c>
    </row>
    <row r="20" spans="1:11" x14ac:dyDescent="0.3">
      <c r="A20" s="9">
        <v>85</v>
      </c>
      <c r="B20" s="9"/>
      <c r="C20" s="9">
        <v>0.13372174058484099</v>
      </c>
      <c r="D20" s="9"/>
      <c r="E20" s="9">
        <v>1</v>
      </c>
      <c r="F20" s="9">
        <v>0</v>
      </c>
      <c r="G20" s="9">
        <v>28807.216575001599</v>
      </c>
      <c r="H20" s="9">
        <v>28807.216575001599</v>
      </c>
      <c r="I20" s="9">
        <v>215426.57498333001</v>
      </c>
      <c r="J20" s="9">
        <v>215426.57498333001</v>
      </c>
      <c r="K20" s="9">
        <v>7.4782155513862802</v>
      </c>
    </row>
    <row r="24" spans="1:11" x14ac:dyDescent="0.3">
      <c r="A24" s="11" t="s">
        <v>28</v>
      </c>
      <c r="B24" s="11" t="s">
        <v>29</v>
      </c>
      <c r="C24" s="11" t="s">
        <v>30</v>
      </c>
      <c r="D24" s="11" t="s">
        <v>31</v>
      </c>
      <c r="E24" s="11" t="s">
        <v>32</v>
      </c>
      <c r="F24" s="11" t="s">
        <v>33</v>
      </c>
      <c r="G24" s="11" t="s">
        <v>34</v>
      </c>
      <c r="H24" s="11" t="s">
        <v>35</v>
      </c>
      <c r="I24" s="11" t="s">
        <v>36</v>
      </c>
      <c r="J24" s="11" t="s">
        <v>37</v>
      </c>
      <c r="K24" s="11" t="s">
        <v>38</v>
      </c>
    </row>
    <row r="25" spans="1:11" x14ac:dyDescent="0.3">
      <c r="A25" s="11">
        <v>0</v>
      </c>
      <c r="B25" s="11">
        <v>1</v>
      </c>
      <c r="C25" s="11">
        <v>1.17836787802151E-2</v>
      </c>
      <c r="D25" s="11">
        <v>8.5994300584602404E-2</v>
      </c>
      <c r="E25" s="11">
        <v>1.1658116787145701E-2</v>
      </c>
      <c r="F25" s="11">
        <v>0.98834188321285399</v>
      </c>
      <c r="G25" s="11">
        <v>100000</v>
      </c>
      <c r="H25" s="11">
        <v>1165.81167871457</v>
      </c>
      <c r="I25" s="11">
        <v>98934.441481209898</v>
      </c>
      <c r="J25" s="11">
        <v>7839635.0433541704</v>
      </c>
      <c r="K25" s="11">
        <v>78.396350433541699</v>
      </c>
    </row>
    <row r="26" spans="1:11" x14ac:dyDescent="0.3">
      <c r="A26" s="11">
        <v>1</v>
      </c>
      <c r="B26" s="11">
        <v>4</v>
      </c>
      <c r="C26" s="11">
        <v>5.5106764253262501E-4</v>
      </c>
      <c r="D26" s="11">
        <v>2</v>
      </c>
      <c r="E26" s="11">
        <v>2.2018438403418601E-3</v>
      </c>
      <c r="F26" s="11">
        <v>0.99779815615965795</v>
      </c>
      <c r="G26" s="11">
        <v>98834.188321285401</v>
      </c>
      <c r="H26" s="11">
        <v>217.617448770397</v>
      </c>
      <c r="I26" s="11">
        <v>394901.51838760101</v>
      </c>
      <c r="J26" s="11">
        <v>7740700.6018729601</v>
      </c>
      <c r="K26" s="11">
        <v>78.320070547955197</v>
      </c>
    </row>
    <row r="27" spans="1:11" x14ac:dyDescent="0.3">
      <c r="A27" s="11">
        <v>5</v>
      </c>
      <c r="B27" s="11">
        <v>5</v>
      </c>
      <c r="C27" s="11">
        <v>2.5663751145170303E-4</v>
      </c>
      <c r="D27" s="11">
        <v>2.5</v>
      </c>
      <c r="E27" s="11">
        <v>1.2823647999809101E-3</v>
      </c>
      <c r="F27" s="11">
        <v>0.99871763520001899</v>
      </c>
      <c r="G27" s="11">
        <v>98616.570872515003</v>
      </c>
      <c r="H27" s="11">
        <v>126.46241918174201</v>
      </c>
      <c r="I27" s="11">
        <v>492766.698314621</v>
      </c>
      <c r="J27" s="11">
        <v>7345799.0834853603</v>
      </c>
      <c r="K27" s="11">
        <v>74.488486250262397</v>
      </c>
    </row>
    <row r="28" spans="1:11" x14ac:dyDescent="0.3">
      <c r="A28" s="11">
        <v>10</v>
      </c>
      <c r="B28" s="11">
        <v>5</v>
      </c>
      <c r="C28" s="11">
        <v>2.4698908543470101E-4</v>
      </c>
      <c r="D28" s="11">
        <v>2.5</v>
      </c>
      <c r="E28" s="11">
        <v>1.23418335262969E-3</v>
      </c>
      <c r="F28" s="11">
        <v>0.99876581664736996</v>
      </c>
      <c r="G28" s="11">
        <v>98490.108453333305</v>
      </c>
      <c r="H28" s="11">
        <v>121.55485225180701</v>
      </c>
      <c r="I28" s="11">
        <v>492146.65513603698</v>
      </c>
      <c r="J28" s="11">
        <v>6853032.3851707401</v>
      </c>
      <c r="K28" s="11">
        <v>69.580920285186295</v>
      </c>
    </row>
    <row r="29" spans="1:11" x14ac:dyDescent="0.3">
      <c r="A29" s="11">
        <v>15</v>
      </c>
      <c r="B29" s="11">
        <v>5</v>
      </c>
      <c r="C29" s="11">
        <v>4.2275601693372698E-4</v>
      </c>
      <c r="D29" s="11">
        <v>2.5</v>
      </c>
      <c r="E29" s="11">
        <v>2.1115484101800102E-3</v>
      </c>
      <c r="F29" s="11">
        <v>0.99788845158981998</v>
      </c>
      <c r="G29" s="11">
        <v>98368.553601081498</v>
      </c>
      <c r="H29" s="11">
        <v>207.70996296806001</v>
      </c>
      <c r="I29" s="11">
        <v>491323.49309798703</v>
      </c>
      <c r="J29" s="11">
        <v>6360885.7300346997</v>
      </c>
      <c r="K29" s="11">
        <v>64.6638127447751</v>
      </c>
    </row>
    <row r="30" spans="1:11" x14ac:dyDescent="0.3">
      <c r="A30" s="11">
        <v>20</v>
      </c>
      <c r="B30" s="11">
        <v>5</v>
      </c>
      <c r="C30" s="11">
        <v>5.6401033911524499E-4</v>
      </c>
      <c r="D30" s="11">
        <v>2.5</v>
      </c>
      <c r="E30" s="11">
        <v>2.81608094864917E-3</v>
      </c>
      <c r="F30" s="11">
        <v>0.99718391905135095</v>
      </c>
      <c r="G30" s="11">
        <v>98160.843638113394</v>
      </c>
      <c r="H30" s="11">
        <v>276.428881672633</v>
      </c>
      <c r="I30" s="11">
        <v>490113.14598638599</v>
      </c>
      <c r="J30" s="11">
        <v>5869562.2369367201</v>
      </c>
      <c r="K30" s="11">
        <v>59.795352397090802</v>
      </c>
    </row>
    <row r="31" spans="1:11" x14ac:dyDescent="0.3">
      <c r="A31" s="11">
        <v>25</v>
      </c>
      <c r="B31" s="11">
        <v>5</v>
      </c>
      <c r="C31" s="11">
        <v>7.7734700249791795E-4</v>
      </c>
      <c r="D31" s="11">
        <v>2.5</v>
      </c>
      <c r="E31" s="11">
        <v>3.8791963084334399E-3</v>
      </c>
      <c r="F31" s="11">
        <v>0.99612080369156697</v>
      </c>
      <c r="G31" s="11">
        <v>97884.414756440805</v>
      </c>
      <c r="H31" s="11">
        <v>379.71286037634098</v>
      </c>
      <c r="I31" s="11">
        <v>488472.79163126298</v>
      </c>
      <c r="J31" s="11">
        <v>5379449.0909503298</v>
      </c>
      <c r="K31" s="11">
        <v>54.957156400594002</v>
      </c>
    </row>
    <row r="32" spans="1:11" x14ac:dyDescent="0.3">
      <c r="A32" s="11">
        <v>30</v>
      </c>
      <c r="B32" s="11">
        <v>5</v>
      </c>
      <c r="C32" s="11">
        <v>1.02234699311642E-3</v>
      </c>
      <c r="D32" s="11">
        <v>2.5</v>
      </c>
      <c r="E32" s="11">
        <v>5.0987033554714296E-3</v>
      </c>
      <c r="F32" s="11">
        <v>0.99490129664452898</v>
      </c>
      <c r="G32" s="11">
        <v>97504.701896064405</v>
      </c>
      <c r="H32" s="11">
        <v>497.14755073170801</v>
      </c>
      <c r="I32" s="11">
        <v>486280.64060349303</v>
      </c>
      <c r="J32" s="11">
        <v>4890976.2993190698</v>
      </c>
      <c r="K32" s="11">
        <v>50.161440466046699</v>
      </c>
    </row>
    <row r="33" spans="1:11" x14ac:dyDescent="0.3">
      <c r="A33" s="11">
        <v>35</v>
      </c>
      <c r="B33" s="11">
        <v>5</v>
      </c>
      <c r="C33" s="11">
        <v>1.24697425364923E-3</v>
      </c>
      <c r="D33" s="11">
        <v>2.5</v>
      </c>
      <c r="E33" s="11">
        <v>6.2154948630762999E-3</v>
      </c>
      <c r="F33" s="11">
        <v>0.99378450513692396</v>
      </c>
      <c r="G33" s="11">
        <v>97007.554345332697</v>
      </c>
      <c r="H33" s="11">
        <v>602.94995571300399</v>
      </c>
      <c r="I33" s="11">
        <v>483530.39683738101</v>
      </c>
      <c r="J33" s="11">
        <v>4404695.6587155703</v>
      </c>
      <c r="K33" s="11">
        <v>45.405697406157699</v>
      </c>
    </row>
    <row r="34" spans="1:11" x14ac:dyDescent="0.3">
      <c r="A34" s="11">
        <v>40</v>
      </c>
      <c r="B34" s="11">
        <v>5</v>
      </c>
      <c r="C34" s="11">
        <v>1.90788058748847E-3</v>
      </c>
      <c r="D34" s="11">
        <v>2.5</v>
      </c>
      <c r="E34" s="11">
        <v>9.4941188249388093E-3</v>
      </c>
      <c r="F34" s="11">
        <v>0.990505881175061</v>
      </c>
      <c r="G34" s="11">
        <v>96404.604389619693</v>
      </c>
      <c r="H34" s="11">
        <v>915.27676934626697</v>
      </c>
      <c r="I34" s="11">
        <v>479734.83002473298</v>
      </c>
      <c r="J34" s="11">
        <v>3921165.2618781901</v>
      </c>
      <c r="K34" s="11">
        <v>40.6740454639571</v>
      </c>
    </row>
    <row r="35" spans="1:11" x14ac:dyDescent="0.3">
      <c r="A35" s="11">
        <v>45</v>
      </c>
      <c r="B35" s="11">
        <v>5</v>
      </c>
      <c r="C35" s="11">
        <v>3.1969779371775501E-3</v>
      </c>
      <c r="D35" s="11">
        <v>2.5</v>
      </c>
      <c r="E35" s="11">
        <v>1.5858144341923501E-2</v>
      </c>
      <c r="F35" s="11">
        <v>0.98414185565807699</v>
      </c>
      <c r="G35" s="11">
        <v>95489.3276202735</v>
      </c>
      <c r="H35" s="11">
        <v>1514.2835405155199</v>
      </c>
      <c r="I35" s="11">
        <v>473660.92925007897</v>
      </c>
      <c r="J35" s="11">
        <v>3441430.4318534601</v>
      </c>
      <c r="K35" s="11">
        <v>36.039948312745302</v>
      </c>
    </row>
    <row r="36" spans="1:11" x14ac:dyDescent="0.3">
      <c r="A36" s="11">
        <v>50</v>
      </c>
      <c r="B36" s="11">
        <v>5</v>
      </c>
      <c r="C36" s="11">
        <v>4.35999295512808E-3</v>
      </c>
      <c r="D36" s="11">
        <v>2.5</v>
      </c>
      <c r="E36" s="11">
        <v>2.1564907661930401E-2</v>
      </c>
      <c r="F36" s="11">
        <v>0.97843509233807002</v>
      </c>
      <c r="G36" s="11">
        <v>93975.044079757994</v>
      </c>
      <c r="H36" s="11">
        <v>2026.5631481058199</v>
      </c>
      <c r="I36" s="11">
        <v>464808.81252852501</v>
      </c>
      <c r="J36" s="11">
        <v>2967769.50260338</v>
      </c>
      <c r="K36" s="11">
        <v>31.580400218643099</v>
      </c>
    </row>
    <row r="37" spans="1:11" x14ac:dyDescent="0.3">
      <c r="A37" s="11">
        <v>55</v>
      </c>
      <c r="B37" s="11">
        <v>5</v>
      </c>
      <c r="C37" s="11">
        <v>7.5323151460095798E-3</v>
      </c>
      <c r="D37" s="11">
        <v>2.5</v>
      </c>
      <c r="E37" s="11">
        <v>3.6965486495523302E-2</v>
      </c>
      <c r="F37" s="11">
        <v>0.963034513504477</v>
      </c>
      <c r="G37" s="11">
        <v>91948.480931652099</v>
      </c>
      <c r="H37" s="11">
        <v>3398.92033016286</v>
      </c>
      <c r="I37" s="11">
        <v>451245.10383285303</v>
      </c>
      <c r="J37" s="11">
        <v>2502960.6900748601</v>
      </c>
      <c r="K37" s="11">
        <v>27.2213381310277</v>
      </c>
    </row>
    <row r="38" spans="1:11" x14ac:dyDescent="0.3">
      <c r="A38" s="11">
        <v>60</v>
      </c>
      <c r="B38" s="11">
        <v>5</v>
      </c>
      <c r="C38" s="11">
        <v>1.14627031532157E-2</v>
      </c>
      <c r="D38" s="11">
        <v>2.5</v>
      </c>
      <c r="E38" s="11">
        <v>5.5716851444235903E-2</v>
      </c>
      <c r="F38" s="11">
        <v>0.94428314855576401</v>
      </c>
      <c r="G38" s="11">
        <v>88549.560601489298</v>
      </c>
      <c r="H38" s="11">
        <v>4933.7027134855498</v>
      </c>
      <c r="I38" s="11">
        <v>430413.546223732</v>
      </c>
      <c r="J38" s="11">
        <v>2051715.5862420001</v>
      </c>
      <c r="K38" s="11">
        <v>23.170251464889802</v>
      </c>
    </row>
    <row r="39" spans="1:11" x14ac:dyDescent="0.3">
      <c r="A39" s="11">
        <v>65</v>
      </c>
      <c r="B39" s="11">
        <v>5</v>
      </c>
      <c r="C39" s="11">
        <v>1.66677075310004E-2</v>
      </c>
      <c r="D39" s="11">
        <v>2.5</v>
      </c>
      <c r="E39" s="11">
        <v>8.0004796290868402E-2</v>
      </c>
      <c r="F39" s="11">
        <v>0.91999520370913201</v>
      </c>
      <c r="G39" s="11">
        <v>83615.857888003695</v>
      </c>
      <c r="H39" s="11">
        <v>6689.6696770159297</v>
      </c>
      <c r="I39" s="11">
        <v>401355.115247479</v>
      </c>
      <c r="J39" s="11">
        <v>1621302.04001827</v>
      </c>
      <c r="K39" s="11">
        <v>19.389887049773101</v>
      </c>
    </row>
    <row r="40" spans="1:11" x14ac:dyDescent="0.3">
      <c r="A40" s="11">
        <v>70</v>
      </c>
      <c r="B40" s="11">
        <v>5</v>
      </c>
      <c r="C40" s="11">
        <v>2.5023861499352699E-2</v>
      </c>
      <c r="D40" s="11">
        <v>2.5</v>
      </c>
      <c r="E40" s="11">
        <v>0.117752737039639</v>
      </c>
      <c r="F40" s="11">
        <v>0.88224726296036105</v>
      </c>
      <c r="G40" s="11">
        <v>76926.188210987806</v>
      </c>
      <c r="H40" s="11">
        <v>9058.2692118702507</v>
      </c>
      <c r="I40" s="11">
        <v>361985.26802526298</v>
      </c>
      <c r="J40" s="11">
        <v>1219946.9247707899</v>
      </c>
      <c r="K40" s="11">
        <v>15.85866859053</v>
      </c>
    </row>
    <row r="41" spans="1:11" x14ac:dyDescent="0.3">
      <c r="A41" s="11">
        <v>75</v>
      </c>
      <c r="B41" s="11">
        <v>5</v>
      </c>
      <c r="C41" s="11">
        <v>3.94770229303276E-2</v>
      </c>
      <c r="D41" s="11">
        <v>2.5</v>
      </c>
      <c r="E41" s="11">
        <v>0.17965454788559501</v>
      </c>
      <c r="F41" s="11">
        <v>0.82034545211440502</v>
      </c>
      <c r="G41" s="11">
        <v>67867.918999117494</v>
      </c>
      <c r="H41" s="11">
        <v>12192.7803037226</v>
      </c>
      <c r="I41" s="11">
        <v>308857.64423628099</v>
      </c>
      <c r="J41" s="11">
        <v>857961.65674552904</v>
      </c>
      <c r="K41" s="11">
        <v>12.6416378960534</v>
      </c>
    </row>
    <row r="42" spans="1:11" x14ac:dyDescent="0.3">
      <c r="A42" s="11">
        <v>80</v>
      </c>
      <c r="B42" s="11">
        <v>5</v>
      </c>
      <c r="C42" s="11">
        <v>6.6506109718301495E-2</v>
      </c>
      <c r="D42" s="11">
        <v>2.5</v>
      </c>
      <c r="E42" s="11">
        <v>0.285124281688234</v>
      </c>
      <c r="F42" s="11">
        <v>0.714875718311766</v>
      </c>
      <c r="G42" s="11">
        <v>55675.138695394897</v>
      </c>
      <c r="H42" s="11">
        <v>15874.3339284173</v>
      </c>
      <c r="I42" s="11">
        <v>238689.85865593099</v>
      </c>
      <c r="J42" s="11">
        <v>549104.01250924706</v>
      </c>
      <c r="K42" s="11">
        <v>9.8626429206303108</v>
      </c>
    </row>
    <row r="43" spans="1:11" x14ac:dyDescent="0.3">
      <c r="A43" s="11">
        <v>85</v>
      </c>
      <c r="B43" s="11"/>
      <c r="C43" s="11">
        <v>0.12821839556254699</v>
      </c>
      <c r="D43" s="11"/>
      <c r="E43" s="11">
        <v>1</v>
      </c>
      <c r="F43" s="11">
        <v>0</v>
      </c>
      <c r="G43" s="11">
        <v>39800.804766977701</v>
      </c>
      <c r="H43" s="11">
        <v>39800.804766977701</v>
      </c>
      <c r="I43" s="11">
        <v>310414.15385331598</v>
      </c>
      <c r="J43" s="11">
        <v>310414.15385331598</v>
      </c>
      <c r="K43" s="11">
        <v>7.7991928974979796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Decrementos Múltiples</vt:lpstr>
      <vt:lpstr>Base defun. por homi</vt:lpstr>
      <vt:lpstr>Tabla din. defun. x homi</vt:lpstr>
      <vt:lpstr>Prorrateo</vt:lpstr>
      <vt:lpstr>Homicidios</vt:lpstr>
      <vt:lpstr>Defunciones generales</vt:lpstr>
      <vt:lpstr>LT 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Naomi Monsalvo</dc:creator>
  <cp:lastModifiedBy>Naomi Monsalvo</cp:lastModifiedBy>
  <dcterms:created xsi:type="dcterms:W3CDTF">2026-06-03T19:29:56Z</dcterms:created>
  <dcterms:modified xsi:type="dcterms:W3CDTF">2026-06-05T09:19:00Z</dcterms:modified>
</cp:coreProperties>
</file>